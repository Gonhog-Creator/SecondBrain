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Copy of Sheet1" sheetId="2" r:id="rId5"/>
  </sheets>
  <definedNames/>
  <calcPr/>
</workbook>
</file>

<file path=xl/sharedStrings.xml><?xml version="1.0" encoding="utf-8"?>
<sst xmlns="http://schemas.openxmlformats.org/spreadsheetml/2006/main" count="28" uniqueCount="19">
  <si>
    <t>Random Calcs</t>
  </si>
  <si>
    <t>Absorbance</t>
  </si>
  <si>
    <t>Stock Diluted</t>
  </si>
  <si>
    <t>Run 1</t>
  </si>
  <si>
    <t>Run 2</t>
  </si>
  <si>
    <t>unknown</t>
  </si>
  <si>
    <t>fert</t>
  </si>
  <si>
    <t>Diameter (in)</t>
  </si>
  <si>
    <t>diamater</t>
  </si>
  <si>
    <t>N</t>
  </si>
  <si>
    <t>lbf</t>
  </si>
  <si>
    <t>mm</t>
  </si>
  <si>
    <t>in.</t>
  </si>
  <si>
    <t>in</t>
  </si>
  <si>
    <t>Stress</t>
  </si>
  <si>
    <t>Strain</t>
  </si>
  <si>
    <t>True Stress</t>
  </si>
  <si>
    <t>True Strain</t>
  </si>
  <si>
    <t>var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</si>
</sst>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Run 1 and Run 2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strRef>
              <c:f>Sheet1!$B$2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Trendline for Run 1</c:name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0"/>
          </c:trendline>
          <c:xVal>
            <c:numRef>
              <c:f>Sheet1!$A$3:$A$8</c:f>
            </c:numRef>
          </c:xVal>
          <c:yVal>
            <c:numRef>
              <c:f>Sheet1!$B$3:$B$8</c:f>
              <c:numCache/>
            </c:numRef>
          </c:yVal>
        </c:ser>
        <c:ser>
          <c:idx val="1"/>
          <c:order val="1"/>
          <c:tx>
            <c:strRef>
              <c:f>Sheet1!$C$2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trendline>
            <c:name>Trendline for Run 2</c:name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0"/>
          </c:trendline>
          <c:xVal>
            <c:numRef>
              <c:f>Sheet1!$A$3:$A$8</c:f>
            </c:numRef>
          </c:xVal>
          <c:yVal>
            <c:numRef>
              <c:f>Sheet1!$C$3:$C$8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4005570"/>
        <c:axId val="466728266"/>
      </c:scatterChart>
      <c:valAx>
        <c:axId val="112400557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66728266"/>
      </c:valAx>
      <c:valAx>
        <c:axId val="46672826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2400557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Sheet1!$H$23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Sheet1!$K$24:$K$39</c:f>
            </c:strRef>
          </c:cat>
          <c:val>
            <c:numRef>
              <c:f>Sheet1!$H$24:$H$39</c:f>
              <c:numCache/>
            </c:numRef>
          </c:val>
          <c:smooth val="1"/>
        </c:ser>
        <c:ser>
          <c:idx val="1"/>
          <c:order val="1"/>
          <c:tx>
            <c:strRef>
              <c:f>Sheet1!$J$23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Sheet1!$K$24:$K$39</c:f>
            </c:strRef>
          </c:cat>
          <c:val>
            <c:numRef>
              <c:f>Sheet1!$J$24:$J$39</c:f>
              <c:numCache/>
            </c:numRef>
          </c:val>
          <c:smooth val="1"/>
        </c:ser>
        <c:axId val="1559857196"/>
        <c:axId val="931822427"/>
      </c:lineChart>
      <c:catAx>
        <c:axId val="15598571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31822427"/>
      </c:catAx>
      <c:valAx>
        <c:axId val="93182242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5985719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Run 1 and Run 2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'Copy of Sheet1'!$B$2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Trendline for Run 1</c:name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0"/>
          </c:trendline>
          <c:xVal>
            <c:numRef>
              <c:f>'Copy of Sheet1'!$A$3:$A$8</c:f>
            </c:numRef>
          </c:xVal>
          <c:yVal>
            <c:numRef>
              <c:f>'Copy of Sheet1'!$B$3:$B$8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0427588"/>
        <c:axId val="105921885"/>
      </c:scatterChart>
      <c:valAx>
        <c:axId val="126042758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5921885"/>
      </c:valAx>
      <c:valAx>
        <c:axId val="10592188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6042758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Run 1 vs. Stock Diluted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1"/>
          </c:trendline>
          <c:xVal>
            <c:numRef>
              <c:f>'Copy of Sheet1'!$A$3:$A$16</c:f>
            </c:numRef>
          </c:xVal>
          <c:yVal>
            <c:numRef>
              <c:f>'Copy of Sheet1'!$B$3:$B$16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0367786"/>
        <c:axId val="969937113"/>
      </c:scatterChart>
      <c:valAx>
        <c:axId val="104036778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Stock Diluted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69937113"/>
      </c:valAx>
      <c:valAx>
        <c:axId val="96993711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Run 1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4036778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400050</xdr:colOff>
      <xdr:row>1</xdr:row>
      <xdr:rowOff>47625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11</xdr:col>
      <xdr:colOff>0</xdr:colOff>
      <xdr:row>21</xdr:row>
      <xdr:rowOff>190500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400050</xdr:colOff>
      <xdr:row>1</xdr:row>
      <xdr:rowOff>47625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</xdr:col>
      <xdr:colOff>609600</xdr:colOff>
      <xdr:row>3</xdr:row>
      <xdr:rowOff>38100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  <c r="C2" s="1" t="s">
        <v>4</v>
      </c>
    </row>
    <row r="3">
      <c r="A3" s="1">
        <v>0.0</v>
      </c>
      <c r="B3" s="1">
        <v>-0.0022</v>
      </c>
      <c r="C3" s="1">
        <v>-0.0014</v>
      </c>
    </row>
    <row r="4">
      <c r="A4" s="1">
        <v>5.0</v>
      </c>
      <c r="B4" s="1">
        <v>0.1077</v>
      </c>
      <c r="C4" s="1">
        <v>0.1072</v>
      </c>
      <c r="H4" s="1">
        <v>2.0</v>
      </c>
    </row>
    <row r="5">
      <c r="A5" s="1">
        <v>10.0</v>
      </c>
      <c r="B5" s="1">
        <v>0.2433</v>
      </c>
      <c r="C5" s="1">
        <v>0.2525</v>
      </c>
    </row>
    <row r="6">
      <c r="A6" s="1">
        <v>15.0</v>
      </c>
      <c r="B6" s="1">
        <v>0.4039</v>
      </c>
      <c r="C6" s="1">
        <v>0.4073</v>
      </c>
    </row>
    <row r="7">
      <c r="A7" s="1">
        <v>20.0</v>
      </c>
      <c r="B7" s="1">
        <v>0.561</v>
      </c>
      <c r="C7" s="1">
        <v>0.5639</v>
      </c>
    </row>
    <row r="8">
      <c r="A8" s="1">
        <v>25.0</v>
      </c>
      <c r="B8" s="1">
        <v>0.7438</v>
      </c>
      <c r="C8" s="1">
        <v>0.7427</v>
      </c>
    </row>
    <row r="9">
      <c r="A9" s="1" t="s">
        <v>5</v>
      </c>
      <c r="B9" s="1">
        <v>0.2615</v>
      </c>
      <c r="C9" s="1">
        <v>0.2615</v>
      </c>
    </row>
    <row r="10">
      <c r="A10" s="1" t="s">
        <v>6</v>
      </c>
      <c r="B10" s="1">
        <v>0.2466</v>
      </c>
      <c r="C10" s="1">
        <v>0.2394</v>
      </c>
    </row>
    <row r="21">
      <c r="C21" s="1" t="s">
        <v>7</v>
      </c>
      <c r="D21" s="1">
        <v>0.505</v>
      </c>
    </row>
    <row r="22">
      <c r="F22" s="1" t="s">
        <v>8</v>
      </c>
    </row>
    <row r="23">
      <c r="B23" s="1" t="s">
        <v>9</v>
      </c>
      <c r="C23" s="1" t="s">
        <v>10</v>
      </c>
      <c r="D23" s="1" t="s">
        <v>11</v>
      </c>
      <c r="E23" s="1" t="s">
        <v>12</v>
      </c>
      <c r="F23" s="1" t="s">
        <v>11</v>
      </c>
      <c r="G23" s="1" t="s">
        <v>13</v>
      </c>
      <c r="H23" s="1" t="s">
        <v>14</v>
      </c>
      <c r="I23" s="1" t="s">
        <v>15</v>
      </c>
      <c r="J23" s="1" t="s">
        <v>16</v>
      </c>
      <c r="K23" s="1" t="s">
        <v>17</v>
      </c>
    </row>
    <row r="24">
      <c r="B24" s="1">
        <v>0.0</v>
      </c>
      <c r="C24" s="1">
        <v>0.0</v>
      </c>
      <c r="D24" s="1">
        <v>50.8</v>
      </c>
      <c r="E24" s="1">
        <v>2.0</v>
      </c>
      <c r="H24" s="2">
        <f>C24/($D$21/2)^2</f>
        <v>0</v>
      </c>
      <c r="I24" s="2">
        <f t="shared" ref="I24:I39" si="1">(E24-$E$24)/E24</f>
        <v>0</v>
      </c>
      <c r="J24" s="2">
        <f t="shared" ref="J24:J35" si="2">C24/(($D$21/2)^2*3.141592)</f>
        <v>0</v>
      </c>
      <c r="K24" s="2">
        <f t="shared" ref="K24:K39" si="3">ln(E24/$E$24)</f>
        <v>0</v>
      </c>
    </row>
    <row r="25">
      <c r="B25" s="1">
        <v>7330.0</v>
      </c>
      <c r="C25" s="1">
        <v>1650.0</v>
      </c>
      <c r="D25" s="1">
        <v>50.851</v>
      </c>
      <c r="E25" s="1">
        <v>2.002</v>
      </c>
      <c r="H25" s="2">
        <f t="shared" ref="H25:H39" si="4">C25/(($D$21/2)^2*3.141592)</f>
        <v>8237.802905</v>
      </c>
      <c r="I25" s="2">
        <f t="shared" si="1"/>
        <v>0.000999000999</v>
      </c>
      <c r="J25" s="2">
        <f t="shared" si="2"/>
        <v>8237.802905</v>
      </c>
      <c r="K25" s="2">
        <f t="shared" si="3"/>
        <v>0.0009995003331</v>
      </c>
    </row>
    <row r="26">
      <c r="B26" s="1">
        <v>15100.0</v>
      </c>
      <c r="C26" s="1">
        <v>3400.0</v>
      </c>
      <c r="D26" s="1">
        <v>50.902</v>
      </c>
      <c r="E26" s="1">
        <v>2.004</v>
      </c>
      <c r="H26" s="2">
        <f t="shared" si="4"/>
        <v>16974.86659</v>
      </c>
      <c r="I26" s="2">
        <f t="shared" si="1"/>
        <v>0.001996007984</v>
      </c>
      <c r="J26" s="2">
        <f t="shared" si="2"/>
        <v>16974.86659</v>
      </c>
      <c r="K26" s="2">
        <f t="shared" si="3"/>
        <v>0.001998002663</v>
      </c>
    </row>
    <row r="27">
      <c r="B27" s="1">
        <v>23100.0</v>
      </c>
      <c r="C27" s="1">
        <v>5200.0</v>
      </c>
      <c r="D27" s="1">
        <v>50.952</v>
      </c>
      <c r="E27" s="1">
        <v>2.006</v>
      </c>
      <c r="H27" s="2">
        <f t="shared" si="4"/>
        <v>25961.56067</v>
      </c>
      <c r="I27" s="2">
        <f t="shared" si="1"/>
        <v>0.002991026919</v>
      </c>
      <c r="J27" s="2">
        <f t="shared" si="2"/>
        <v>25961.56067</v>
      </c>
      <c r="K27" s="2">
        <f t="shared" si="3"/>
        <v>0.00299550898</v>
      </c>
    </row>
    <row r="28">
      <c r="B28" s="1">
        <v>30400.0</v>
      </c>
      <c r="C28" s="1">
        <v>6850.0</v>
      </c>
      <c r="D28" s="1">
        <v>51.003</v>
      </c>
      <c r="E28" s="1">
        <v>2.008</v>
      </c>
      <c r="H28" s="2">
        <f t="shared" si="4"/>
        <v>34199.36358</v>
      </c>
      <c r="I28" s="2">
        <f t="shared" si="1"/>
        <v>0.003984063745</v>
      </c>
      <c r="J28" s="2">
        <f t="shared" si="2"/>
        <v>34199.36358</v>
      </c>
      <c r="K28" s="2">
        <f t="shared" si="3"/>
        <v>0.00399202127</v>
      </c>
    </row>
    <row r="29">
      <c r="B29" s="1">
        <v>34400.0</v>
      </c>
      <c r="C29" s="1">
        <v>7750.0</v>
      </c>
      <c r="D29" s="1">
        <v>51.054</v>
      </c>
      <c r="E29" s="1">
        <v>2.01</v>
      </c>
      <c r="H29" s="2">
        <f t="shared" si="4"/>
        <v>38692.71062</v>
      </c>
      <c r="I29" s="2">
        <f t="shared" si="1"/>
        <v>0.004975124378</v>
      </c>
      <c r="J29" s="2">
        <f t="shared" si="2"/>
        <v>38692.71062</v>
      </c>
      <c r="K29" s="2">
        <f t="shared" si="3"/>
        <v>0.004987541511</v>
      </c>
    </row>
    <row r="30">
      <c r="B30" s="1">
        <v>38400.0</v>
      </c>
      <c r="C30" s="1">
        <v>8650.0</v>
      </c>
      <c r="D30" s="1">
        <v>51.308</v>
      </c>
      <c r="E30" s="1">
        <v>2.02</v>
      </c>
      <c r="H30" s="2">
        <f t="shared" si="4"/>
        <v>43186.05765</v>
      </c>
      <c r="I30" s="2">
        <f t="shared" si="1"/>
        <v>0.009900990099</v>
      </c>
      <c r="J30" s="2">
        <f t="shared" si="2"/>
        <v>43186.05765</v>
      </c>
      <c r="K30" s="2">
        <f t="shared" si="3"/>
        <v>0.009950330853</v>
      </c>
    </row>
    <row r="31">
      <c r="B31" s="1">
        <v>41300.0</v>
      </c>
      <c r="C31" s="1">
        <v>9300.0</v>
      </c>
      <c r="D31" s="1">
        <v>51.816</v>
      </c>
      <c r="E31" s="1">
        <v>2.04</v>
      </c>
      <c r="H31" s="2">
        <f t="shared" si="4"/>
        <v>46431.25274</v>
      </c>
      <c r="I31" s="2">
        <f t="shared" si="1"/>
        <v>0.01960784314</v>
      </c>
      <c r="J31" s="2">
        <f t="shared" si="2"/>
        <v>46431.25274</v>
      </c>
      <c r="K31" s="2">
        <f t="shared" si="3"/>
        <v>0.0198026273</v>
      </c>
    </row>
    <row r="32">
      <c r="B32" s="1">
        <v>44800.0</v>
      </c>
      <c r="C32" s="1">
        <v>10100.0</v>
      </c>
      <c r="D32" s="1">
        <v>52.832</v>
      </c>
      <c r="E32" s="1">
        <v>2.08</v>
      </c>
      <c r="H32" s="2">
        <f t="shared" si="4"/>
        <v>50425.339</v>
      </c>
      <c r="I32" s="2">
        <f t="shared" si="1"/>
        <v>0.03846153846</v>
      </c>
      <c r="J32" s="2">
        <f t="shared" si="2"/>
        <v>50425.339</v>
      </c>
      <c r="K32" s="2">
        <f t="shared" si="3"/>
        <v>0.03922071315</v>
      </c>
    </row>
    <row r="33">
      <c r="B33" s="1">
        <v>46200.0</v>
      </c>
      <c r="C33" s="1">
        <v>10400.0</v>
      </c>
      <c r="D33" s="1">
        <v>53.848</v>
      </c>
      <c r="E33" s="1">
        <v>2.12</v>
      </c>
      <c r="H33" s="2">
        <f t="shared" si="4"/>
        <v>51923.12134</v>
      </c>
      <c r="I33" s="2">
        <f t="shared" si="1"/>
        <v>0.05660377358</v>
      </c>
      <c r="J33" s="2">
        <f t="shared" si="2"/>
        <v>51923.12134</v>
      </c>
      <c r="K33" s="2">
        <f t="shared" si="3"/>
        <v>0.05826890812</v>
      </c>
    </row>
    <row r="34">
      <c r="B34" s="1">
        <v>47300.0</v>
      </c>
      <c r="C34" s="1">
        <v>10650.0</v>
      </c>
      <c r="D34" s="1">
        <v>54.864</v>
      </c>
      <c r="E34" s="1">
        <v>2.16</v>
      </c>
      <c r="H34" s="2">
        <f t="shared" si="4"/>
        <v>53171.2733</v>
      </c>
      <c r="I34" s="2">
        <f t="shared" si="1"/>
        <v>0.07407407407</v>
      </c>
      <c r="J34" s="2">
        <f t="shared" si="2"/>
        <v>53171.2733</v>
      </c>
      <c r="K34" s="2">
        <f t="shared" si="3"/>
        <v>0.07696104114</v>
      </c>
    </row>
    <row r="35">
      <c r="B35" s="1">
        <v>47500.0</v>
      </c>
      <c r="C35" s="1">
        <v>10700.0</v>
      </c>
      <c r="D35" s="1">
        <v>55.88</v>
      </c>
      <c r="E35" s="1">
        <v>2.2</v>
      </c>
      <c r="H35" s="2">
        <f t="shared" si="4"/>
        <v>53420.90369</v>
      </c>
      <c r="I35" s="2">
        <f t="shared" si="1"/>
        <v>0.09090909091</v>
      </c>
      <c r="J35" s="2">
        <f t="shared" si="2"/>
        <v>53420.90369</v>
      </c>
      <c r="K35" s="2">
        <f t="shared" si="3"/>
        <v>0.0953101798</v>
      </c>
    </row>
    <row r="36">
      <c r="B36" s="1">
        <v>46100.0</v>
      </c>
      <c r="C36" s="1">
        <v>10400.0</v>
      </c>
      <c r="D36" s="1">
        <v>56.896</v>
      </c>
      <c r="E36" s="1">
        <v>2.24</v>
      </c>
      <c r="F36" s="1">
        <v>11.71</v>
      </c>
      <c r="G36" s="1">
        <v>0.461</v>
      </c>
      <c r="H36" s="2">
        <f t="shared" si="4"/>
        <v>51923.12134</v>
      </c>
      <c r="I36" s="2">
        <f t="shared" si="1"/>
        <v>0.1071428571</v>
      </c>
      <c r="J36" s="2">
        <f t="shared" ref="J36:J39" si="5">C36/((G36/2)^2*3.141592)</f>
        <v>62307.69675</v>
      </c>
      <c r="K36" s="2">
        <f t="shared" si="3"/>
        <v>0.1133286853</v>
      </c>
    </row>
    <row r="37">
      <c r="B37" s="1">
        <v>44800.0</v>
      </c>
      <c r="C37" s="1">
        <v>10100.0</v>
      </c>
      <c r="D37" s="1">
        <v>57.658</v>
      </c>
      <c r="E37" s="1">
        <v>2.27</v>
      </c>
      <c r="F37" s="1">
        <v>11.26</v>
      </c>
      <c r="G37" s="1">
        <v>0.443</v>
      </c>
      <c r="H37" s="2">
        <f t="shared" si="4"/>
        <v>50425.339</v>
      </c>
      <c r="I37" s="2">
        <f t="shared" si="1"/>
        <v>0.1189427313</v>
      </c>
      <c r="J37" s="2">
        <f t="shared" si="5"/>
        <v>65527.58015</v>
      </c>
      <c r="K37" s="2">
        <f t="shared" si="3"/>
        <v>0.1266326509</v>
      </c>
    </row>
    <row r="38">
      <c r="B38" s="1">
        <v>42600.0</v>
      </c>
      <c r="C38" s="1">
        <v>9600.0</v>
      </c>
      <c r="D38" s="1">
        <v>58.42</v>
      </c>
      <c r="E38" s="1">
        <v>2.3</v>
      </c>
      <c r="F38" s="1">
        <v>10.62</v>
      </c>
      <c r="G38" s="1">
        <v>0.418</v>
      </c>
      <c r="H38" s="2">
        <f t="shared" si="4"/>
        <v>47929.03508</v>
      </c>
      <c r="I38" s="2">
        <f t="shared" si="1"/>
        <v>0.1304347826</v>
      </c>
      <c r="J38" s="2">
        <f t="shared" si="5"/>
        <v>69956.62973</v>
      </c>
      <c r="K38" s="2">
        <f t="shared" si="3"/>
        <v>0.1397619424</v>
      </c>
    </row>
    <row r="39">
      <c r="B39" s="1">
        <v>36400.0</v>
      </c>
      <c r="C39" s="1">
        <v>8200.0</v>
      </c>
      <c r="D39" s="1">
        <v>59.182</v>
      </c>
      <c r="E39" s="1">
        <v>2.33</v>
      </c>
      <c r="F39" s="1">
        <v>9.4</v>
      </c>
      <c r="G39" s="1">
        <v>0.37</v>
      </c>
      <c r="H39" s="2">
        <f t="shared" si="4"/>
        <v>40939.38413</v>
      </c>
      <c r="I39" s="2">
        <f t="shared" si="1"/>
        <v>0.1416309013</v>
      </c>
      <c r="J39" s="2">
        <f t="shared" si="5"/>
        <v>76264.18144</v>
      </c>
      <c r="K39" s="2">
        <f t="shared" si="3"/>
        <v>0.152721087</v>
      </c>
    </row>
    <row r="48">
      <c r="P48" s="1" t="s">
        <v>18</v>
      </c>
    </row>
    <row r="49">
      <c r="K49" s="1">
        <v>2.0</v>
      </c>
      <c r="L49" s="1">
        <v>3.0</v>
      </c>
      <c r="M49" s="1">
        <v>4.0</v>
      </c>
      <c r="N49" s="1">
        <v>5.0</v>
      </c>
      <c r="O49" s="1">
        <v>6.0</v>
      </c>
      <c r="P49" s="2">
        <f t="shared" ref="P49:T49" si="6">(K49-$L$58)^2</f>
        <v>16</v>
      </c>
      <c r="Q49" s="2">
        <f t="shared" si="6"/>
        <v>9</v>
      </c>
      <c r="R49" s="2">
        <f t="shared" si="6"/>
        <v>4</v>
      </c>
      <c r="S49" s="2">
        <f t="shared" si="6"/>
        <v>1</v>
      </c>
      <c r="T49" s="2">
        <f t="shared" si="6"/>
        <v>0</v>
      </c>
    </row>
    <row r="50">
      <c r="K50" s="1">
        <v>3.0</v>
      </c>
      <c r="L50" s="1">
        <v>4.0</v>
      </c>
      <c r="M50" s="1">
        <v>5.0</v>
      </c>
      <c r="N50" s="1">
        <v>6.0</v>
      </c>
      <c r="O50" s="1">
        <v>7.0</v>
      </c>
      <c r="P50" s="2">
        <f t="shared" ref="P50:T50" si="7">(K50-$L$58)^2</f>
        <v>9</v>
      </c>
      <c r="Q50" s="2">
        <f t="shared" si="7"/>
        <v>4</v>
      </c>
      <c r="R50" s="2">
        <f t="shared" si="7"/>
        <v>1</v>
      </c>
      <c r="S50" s="2">
        <f t="shared" si="7"/>
        <v>0</v>
      </c>
      <c r="T50" s="2">
        <f t="shared" si="7"/>
        <v>1</v>
      </c>
    </row>
    <row r="51">
      <c r="K51" s="1">
        <v>4.0</v>
      </c>
      <c r="L51" s="1">
        <v>5.0</v>
      </c>
      <c r="M51" s="1">
        <v>6.0</v>
      </c>
      <c r="N51" s="1">
        <v>7.0</v>
      </c>
      <c r="O51" s="1">
        <v>8.0</v>
      </c>
      <c r="P51" s="2">
        <f t="shared" ref="P51:T51" si="8">(K51-$L$58)^2</f>
        <v>4</v>
      </c>
      <c r="Q51" s="2">
        <f t="shared" si="8"/>
        <v>1</v>
      </c>
      <c r="R51" s="2">
        <f t="shared" si="8"/>
        <v>0</v>
      </c>
      <c r="S51" s="2">
        <f t="shared" si="8"/>
        <v>1</v>
      </c>
      <c r="T51" s="2">
        <f t="shared" si="8"/>
        <v>4</v>
      </c>
    </row>
    <row r="52">
      <c r="K52" s="1">
        <v>5.0</v>
      </c>
      <c r="L52" s="1">
        <v>6.0</v>
      </c>
      <c r="M52" s="1">
        <v>7.0</v>
      </c>
      <c r="N52" s="1">
        <v>8.0</v>
      </c>
      <c r="O52" s="1">
        <v>9.0</v>
      </c>
      <c r="P52" s="2">
        <f t="shared" ref="P52:T52" si="9">(K52-$L$58)^2</f>
        <v>1</v>
      </c>
      <c r="Q52" s="2">
        <f t="shared" si="9"/>
        <v>0</v>
      </c>
      <c r="R52" s="2">
        <f t="shared" si="9"/>
        <v>1</v>
      </c>
      <c r="S52" s="2">
        <f t="shared" si="9"/>
        <v>4</v>
      </c>
      <c r="T52" s="2">
        <f t="shared" si="9"/>
        <v>9</v>
      </c>
    </row>
    <row r="53">
      <c r="K53" s="1">
        <v>6.0</v>
      </c>
      <c r="L53" s="1">
        <v>7.0</v>
      </c>
      <c r="M53" s="1">
        <v>8.0</v>
      </c>
      <c r="N53" s="1">
        <v>9.0</v>
      </c>
      <c r="O53" s="1">
        <v>10.0</v>
      </c>
      <c r="P53" s="2">
        <f t="shared" ref="P53:T53" si="10">(K53-$L$58)^2</f>
        <v>0</v>
      </c>
      <c r="Q53" s="2">
        <f t="shared" si="10"/>
        <v>1</v>
      </c>
      <c r="R53" s="2">
        <f t="shared" si="10"/>
        <v>4</v>
      </c>
      <c r="S53" s="2">
        <f t="shared" si="10"/>
        <v>9</v>
      </c>
      <c r="T53" s="2">
        <f t="shared" si="10"/>
        <v>16</v>
      </c>
    </row>
    <row r="54">
      <c r="B54" s="1">
        <v>46100.0</v>
      </c>
      <c r="C54" s="1">
        <v>10400.0</v>
      </c>
      <c r="D54" s="1">
        <v>56.896</v>
      </c>
      <c r="E54" s="1">
        <v>2.24</v>
      </c>
    </row>
    <row r="55">
      <c r="B55" s="1">
        <v>44800.0</v>
      </c>
      <c r="C55" s="1">
        <v>10100.0</v>
      </c>
      <c r="D55" s="1">
        <v>57.658</v>
      </c>
      <c r="E55" s="1">
        <v>2.27</v>
      </c>
      <c r="L55" s="2">
        <f>STDEV(K49:O53)</f>
        <v>2.041241452</v>
      </c>
    </row>
    <row r="56">
      <c r="B56" s="1">
        <v>42600.0</v>
      </c>
      <c r="C56" s="1">
        <v>9600.0</v>
      </c>
      <c r="D56" s="1">
        <v>58.42</v>
      </c>
      <c r="E56" s="1">
        <v>2.3</v>
      </c>
    </row>
    <row r="57">
      <c r="B57" s="1">
        <v>36400.0</v>
      </c>
      <c r="C57" s="1">
        <v>8200.0</v>
      </c>
      <c r="D57" s="1">
        <v>59.182</v>
      </c>
      <c r="E57" s="1">
        <v>2.33</v>
      </c>
    </row>
    <row r="58">
      <c r="L58" s="1">
        <f>AVERAGE(K49:O53)</f>
        <v>6</v>
      </c>
      <c r="R58" s="2">
        <f>sum(P49:T53)</f>
        <v>100</v>
      </c>
      <c r="S58" s="2">
        <f>R58/24</f>
        <v>4.166666667</v>
      </c>
    </row>
    <row r="59">
      <c r="S59" s="2">
        <f>SQRT(S58)</f>
        <v>2.041241452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1</v>
      </c>
    </row>
    <row r="2">
      <c r="A2" s="1" t="s">
        <v>2</v>
      </c>
      <c r="B2" s="1" t="s">
        <v>3</v>
      </c>
      <c r="C2" s="1" t="s">
        <v>4</v>
      </c>
    </row>
    <row r="3">
      <c r="A3" s="1">
        <v>0.0</v>
      </c>
      <c r="B3" s="1">
        <v>-0.0022</v>
      </c>
    </row>
    <row r="4">
      <c r="A4" s="1">
        <v>5.0</v>
      </c>
      <c r="B4" s="1">
        <v>0.1077</v>
      </c>
    </row>
    <row r="5">
      <c r="A5" s="1">
        <v>10.0</v>
      </c>
      <c r="B5" s="1">
        <v>0.2433</v>
      </c>
    </row>
    <row r="6">
      <c r="A6" s="1">
        <v>15.0</v>
      </c>
      <c r="B6" s="1">
        <v>0.4039</v>
      </c>
    </row>
    <row r="7">
      <c r="A7" s="1">
        <v>20.0</v>
      </c>
      <c r="B7" s="1">
        <v>0.561</v>
      </c>
    </row>
    <row r="8">
      <c r="A8" s="1">
        <v>25.0</v>
      </c>
      <c r="B8" s="1">
        <v>0.7438</v>
      </c>
    </row>
    <row r="9">
      <c r="A9" s="1" t="s">
        <v>5</v>
      </c>
      <c r="B9" s="1">
        <v>0.2615</v>
      </c>
    </row>
    <row r="10">
      <c r="A10" s="1" t="s">
        <v>6</v>
      </c>
      <c r="B10" s="1">
        <v>0.2466</v>
      </c>
    </row>
    <row r="11">
      <c r="A11" s="1">
        <v>0.0</v>
      </c>
      <c r="B11" s="1">
        <v>-0.0014</v>
      </c>
    </row>
    <row r="12">
      <c r="A12" s="1">
        <v>5.0</v>
      </c>
      <c r="B12" s="1">
        <v>0.1072</v>
      </c>
    </row>
    <row r="13">
      <c r="A13" s="1">
        <v>10.0</v>
      </c>
      <c r="B13" s="1">
        <v>0.2525</v>
      </c>
    </row>
    <row r="14">
      <c r="A14" s="1">
        <v>15.0</v>
      </c>
      <c r="B14" s="1">
        <v>0.4073</v>
      </c>
    </row>
    <row r="15">
      <c r="A15" s="1">
        <v>20.0</v>
      </c>
      <c r="B15" s="1">
        <v>0.5639</v>
      </c>
    </row>
    <row r="16">
      <c r="A16" s="1">
        <v>25.0</v>
      </c>
      <c r="B16" s="1">
        <v>0.7427</v>
      </c>
    </row>
    <row r="17">
      <c r="A17" s="1" t="s">
        <v>5</v>
      </c>
      <c r="B17" s="1">
        <v>0.2615</v>
      </c>
    </row>
    <row r="18">
      <c r="A18" s="1" t="s">
        <v>6</v>
      </c>
      <c r="B18" s="1">
        <v>0.2394</v>
      </c>
    </row>
  </sheetData>
  <drawing r:id="rId1"/>
</worksheet>
</file>