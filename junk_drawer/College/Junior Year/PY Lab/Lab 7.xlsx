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<sst xmlns="http://schemas.openxmlformats.org/spreadsheetml/2006/main" count="15" uniqueCount="12">
  <si>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Shining</t>
  </si>
  <si>
    <t>R</t>
  </si>
  <si>
    <t>G</t>
  </si>
  <si>
    <t>B</t>
  </si>
  <si>
    <t>Detecting</t>
  </si>
  <si>
    <t>X</t>
  </si>
  <si>
    <t>Y1</t>
  </si>
  <si>
    <t>Y2</t>
  </si>
  <si>
    <t>Y3</t>
  </si>
  <si>
    <t>Y4</t>
  </si>
  <si>
    <t>Y5</t>
  </si>
  <si>
    <t>Avergae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</si>
</sst>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E7" s="1" t="s">
        <v>0</v>
      </c>
    </row>
    <row r="8">
      <c r="E8" s="1" t="s">
        <v>1</v>
      </c>
      <c r="F8" s="1" t="s">
        <v>2</v>
      </c>
      <c r="G8" s="1" t="s">
        <v>3</v>
      </c>
    </row>
    <row r="9">
      <c r="C9" s="1" t="s">
        <v>4</v>
      </c>
      <c r="D9" s="1" t="s">
        <v>1</v>
      </c>
      <c r="E9" s="1">
        <v>1.555</v>
      </c>
      <c r="F9" s="1">
        <v>0.51</v>
      </c>
      <c r="G9" s="1">
        <v>0.37</v>
      </c>
    </row>
    <row r="10">
      <c r="D10" s="1" t="s">
        <v>2</v>
      </c>
      <c r="E10" s="1">
        <v>0.015</v>
      </c>
      <c r="F10" s="1">
        <v>0.016</v>
      </c>
      <c r="G10" s="1">
        <v>0.02</v>
      </c>
    </row>
    <row r="11">
      <c r="D11" s="1" t="s">
        <v>3</v>
      </c>
      <c r="E11" s="1">
        <v>0.012</v>
      </c>
      <c r="F11" s="1">
        <v>0.01</v>
      </c>
      <c r="G11" s="1">
        <v>0.011</v>
      </c>
    </row>
    <row r="17">
      <c r="D17" s="1" t="s">
        <v>5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10</v>
      </c>
      <c r="J17" s="1" t="s">
        <v>11</v>
      </c>
    </row>
    <row r="18">
      <c r="D18" s="2">
        <v>4.8E14</v>
      </c>
      <c r="E18" s="1">
        <v>1.527</v>
      </c>
      <c r="F18" s="1">
        <v>1.428</v>
      </c>
      <c r="G18" s="1">
        <v>1.598</v>
      </c>
      <c r="H18" s="1">
        <v>1.609</v>
      </c>
      <c r="I18" s="1">
        <v>1.478</v>
      </c>
      <c r="J18" s="3">
        <f t="shared" ref="J18:J20" si="1">AVERAGE(E18:I18)</f>
        <v>1.528</v>
      </c>
      <c r="K18" s="3">
        <f t="shared" ref="K18:K20" si="2">STDEV(E18:I18)/sqrt(5)</f>
        <v>0.03461358115</v>
      </c>
    </row>
    <row r="19">
      <c r="D19" s="2">
        <v>5.8E14</v>
      </c>
      <c r="E19" s="1">
        <v>1.972</v>
      </c>
      <c r="F19" s="1">
        <v>2.107</v>
      </c>
      <c r="G19" s="1">
        <v>2.04</v>
      </c>
      <c r="H19" s="1">
        <v>1.905</v>
      </c>
      <c r="I19" s="1">
        <v>1.977</v>
      </c>
      <c r="J19" s="3">
        <f t="shared" si="1"/>
        <v>2.0002</v>
      </c>
      <c r="K19" s="3">
        <f t="shared" si="2"/>
        <v>0.03419561375</v>
      </c>
    </row>
    <row r="20">
      <c r="D20" s="2">
        <v>6.4E14</v>
      </c>
      <c r="E20" s="1">
        <v>2.17</v>
      </c>
      <c r="F20" s="1">
        <v>2.15</v>
      </c>
      <c r="G20" s="1">
        <v>2.12</v>
      </c>
      <c r="H20" s="1">
        <v>2.277</v>
      </c>
      <c r="I20" s="1">
        <v>2.1</v>
      </c>
      <c r="J20" s="3">
        <f t="shared" si="1"/>
        <v>2.1634</v>
      </c>
      <c r="K20" s="3">
        <f t="shared" si="2"/>
        <v>0.03084736618</v>
      </c>
    </row>
    <row r="21">
      <c r="J21" s="4">
        <f t="shared" ref="J21:K21" si="3">J18*1.6*10^-19</f>
        <v>0</v>
      </c>
      <c r="K21" s="4">
        <f t="shared" si="3"/>
        <v>0</v>
      </c>
    </row>
    <row r="22">
      <c r="J22" s="4">
        <f t="shared" ref="J22:K22" si="4">J19*1.6*10^-19</f>
        <v>0</v>
      </c>
      <c r="K22" s="4">
        <f t="shared" si="4"/>
        <v>0</v>
      </c>
    </row>
    <row r="23">
      <c r="J23" s="4">
        <f t="shared" ref="J23:K23" si="5">J20*1.6*10^-19</f>
        <v>0</v>
      </c>
      <c r="K23" s="4">
        <f t="shared" si="5"/>
        <v>0</v>
      </c>
    </row>
  </sheetData>
  <drawing r:id="rId1"/>
</worksheet>
</file>