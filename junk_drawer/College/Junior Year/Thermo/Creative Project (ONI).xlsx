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400 Calc Test" sheetId="2" r:id="rId5"/>
  </sheets>
  <definedNames/>
  <calcPr/>
</workbook>
</file>

<file path=xl/sharedStrings.xml><?xml version="1.0" encoding="utf-8"?>
<sst xmlns="http://schemas.openxmlformats.org/spreadsheetml/2006/main" count="18" uniqueCount="14">
  <si>
    <t>Steam Temp</t>
  </si>
  <si>
    <t>Q Removed</t>
  </si>
  <si>
    <t>Heat to Turbine</t>
  </si>
  <si>
    <t>Real Heat Deleted</t>
  </si>
  <si>
    <t>P (W)</t>
  </si>
  <si>
    <t>T Steam (in)</t>
  </si>
  <si>
    <t>Total Mass</t>
  </si>
  <si>
    <t>Total Storage</t>
  </si>
  <si>
    <t>Loss</t>
  </si>
  <si>
    <t>Total Produced</t>
  </si>
  <si>
    <t>Mass Turbine (kg)</t>
  </si>
  <si>
    <t>Specific Heat Capacity (DTU/g)/C</t>
  </si>
  <si>
    <t xml:space="preserve">T start </t>
  </si>
  <si>
    <t>T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</si>
</sst>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171450</xdr:rowOff>
    </xdr:from>
    <xdr:ext cx="6572250" cy="1600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1</xdr:row>
      <xdr:rowOff>19050</xdr:rowOff>
    </xdr:from>
    <xdr:ext cx="5905500" cy="13049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3">
      <c r="H13" s="1" t="s">
        <v>0</v>
      </c>
      <c r="I13" s="1" t="s">
        <v>1</v>
      </c>
      <c r="J13" s="1" t="s">
        <v>2</v>
      </c>
      <c r="K13" s="1" t="s">
        <v>3</v>
      </c>
    </row>
    <row r="14">
      <c r="B14" s="1" t="s">
        <v>4</v>
      </c>
      <c r="C14" s="1" t="s">
        <v>5</v>
      </c>
      <c r="D14" s="1" t="s">
        <v>6</v>
      </c>
      <c r="H14" s="1">
        <v>125.0</v>
      </c>
      <c r="I14" s="2">
        <f t="shared" ref="I14:I32" si="1">4.179*2*(H14-95)</f>
        <v>250.74</v>
      </c>
      <c r="J14" s="2">
        <f t="shared" ref="J14:J32" si="2">I14/10+4</f>
        <v>29.074</v>
      </c>
      <c r="K14" s="2">
        <f t="shared" ref="K14:K32" si="3">I14-J14</f>
        <v>221.666</v>
      </c>
    </row>
    <row r="15">
      <c r="B15" s="2">
        <f>(85/21)*D15*(C15-95)</f>
        <v>212500</v>
      </c>
      <c r="C15" s="1">
        <v>200.0</v>
      </c>
      <c r="D15" s="1">
        <v>500.0</v>
      </c>
      <c r="H15" s="1">
        <v>150.0</v>
      </c>
      <c r="I15" s="2">
        <f t="shared" si="1"/>
        <v>459.69</v>
      </c>
      <c r="J15" s="2">
        <f t="shared" si="2"/>
        <v>49.969</v>
      </c>
      <c r="K15" s="2">
        <f t="shared" si="3"/>
        <v>409.721</v>
      </c>
    </row>
    <row r="16">
      <c r="H16" s="1">
        <v>200.0</v>
      </c>
      <c r="I16" s="2">
        <f t="shared" si="1"/>
        <v>877.59</v>
      </c>
      <c r="J16" s="2">
        <f t="shared" si="2"/>
        <v>91.759</v>
      </c>
      <c r="K16" s="2">
        <f t="shared" si="3"/>
        <v>785.831</v>
      </c>
    </row>
    <row r="17">
      <c r="B17" s="1" t="s">
        <v>7</v>
      </c>
      <c r="C17" s="1">
        <v>208.3</v>
      </c>
      <c r="H17" s="1">
        <v>250.0</v>
      </c>
      <c r="I17" s="2">
        <f t="shared" si="1"/>
        <v>1295.49</v>
      </c>
      <c r="J17" s="2">
        <f t="shared" si="2"/>
        <v>133.549</v>
      </c>
      <c r="K17" s="2">
        <f t="shared" si="3"/>
        <v>1161.941</v>
      </c>
    </row>
    <row r="18">
      <c r="B18" s="1" t="s">
        <v>8</v>
      </c>
      <c r="C18" s="1">
        <v>3.4</v>
      </c>
      <c r="H18" s="1">
        <v>300.0</v>
      </c>
      <c r="I18" s="2">
        <f t="shared" si="1"/>
        <v>1713.39</v>
      </c>
      <c r="J18" s="2">
        <f t="shared" si="2"/>
        <v>175.339</v>
      </c>
      <c r="K18" s="2">
        <f t="shared" si="3"/>
        <v>1538.051</v>
      </c>
    </row>
    <row r="19">
      <c r="B19" s="1" t="s">
        <v>9</v>
      </c>
      <c r="C19" s="2">
        <f>(C17+C18)*1000</f>
        <v>211700</v>
      </c>
      <c r="H19" s="1">
        <v>350.0</v>
      </c>
      <c r="I19" s="2">
        <f t="shared" si="1"/>
        <v>2131.29</v>
      </c>
      <c r="J19" s="2">
        <f t="shared" si="2"/>
        <v>217.129</v>
      </c>
      <c r="K19" s="2">
        <f t="shared" si="3"/>
        <v>1914.161</v>
      </c>
    </row>
    <row r="20">
      <c r="H20" s="1">
        <v>400.0</v>
      </c>
      <c r="I20" s="2">
        <f t="shared" si="1"/>
        <v>2549.19</v>
      </c>
      <c r="J20" s="2">
        <f t="shared" si="2"/>
        <v>258.919</v>
      </c>
      <c r="K20" s="2">
        <f t="shared" si="3"/>
        <v>2290.271</v>
      </c>
    </row>
    <row r="21">
      <c r="H21" s="1">
        <v>450.0</v>
      </c>
      <c r="I21" s="2">
        <f t="shared" si="1"/>
        <v>2967.09</v>
      </c>
      <c r="J21" s="2">
        <f t="shared" si="2"/>
        <v>300.709</v>
      </c>
      <c r="K21" s="2">
        <f t="shared" si="3"/>
        <v>2666.381</v>
      </c>
    </row>
    <row r="22">
      <c r="H22" s="1">
        <v>500.0</v>
      </c>
      <c r="I22" s="2">
        <f t="shared" si="1"/>
        <v>3384.99</v>
      </c>
      <c r="J22" s="2">
        <f t="shared" si="2"/>
        <v>342.499</v>
      </c>
      <c r="K22" s="2">
        <f t="shared" si="3"/>
        <v>3042.491</v>
      </c>
    </row>
    <row r="23">
      <c r="H23" s="1">
        <v>550.0</v>
      </c>
      <c r="I23" s="2">
        <f t="shared" si="1"/>
        <v>3802.89</v>
      </c>
      <c r="J23" s="2">
        <f t="shared" si="2"/>
        <v>384.289</v>
      </c>
      <c r="K23" s="2">
        <f t="shared" si="3"/>
        <v>3418.601</v>
      </c>
    </row>
    <row r="24">
      <c r="H24" s="1">
        <v>600.0</v>
      </c>
      <c r="I24" s="2">
        <f t="shared" si="1"/>
        <v>4220.79</v>
      </c>
      <c r="J24" s="2">
        <f t="shared" si="2"/>
        <v>426.079</v>
      </c>
      <c r="K24" s="2">
        <f t="shared" si="3"/>
        <v>3794.711</v>
      </c>
    </row>
    <row r="25">
      <c r="H25" s="1">
        <v>650.0</v>
      </c>
      <c r="I25" s="2">
        <f t="shared" si="1"/>
        <v>4638.69</v>
      </c>
      <c r="J25" s="2">
        <f t="shared" si="2"/>
        <v>467.869</v>
      </c>
      <c r="K25" s="2">
        <f t="shared" si="3"/>
        <v>4170.821</v>
      </c>
    </row>
    <row r="26">
      <c r="H26" s="1">
        <v>700.0</v>
      </c>
      <c r="I26" s="2">
        <f t="shared" si="1"/>
        <v>5056.59</v>
      </c>
      <c r="J26" s="2">
        <f t="shared" si="2"/>
        <v>509.659</v>
      </c>
      <c r="K26" s="2">
        <f t="shared" si="3"/>
        <v>4546.931</v>
      </c>
    </row>
    <row r="27">
      <c r="H27" s="1">
        <v>750.0</v>
      </c>
      <c r="I27" s="2">
        <f t="shared" si="1"/>
        <v>5474.49</v>
      </c>
      <c r="J27" s="2">
        <f t="shared" si="2"/>
        <v>551.449</v>
      </c>
      <c r="K27" s="2">
        <f t="shared" si="3"/>
        <v>4923.041</v>
      </c>
    </row>
    <row r="28">
      <c r="H28" s="1">
        <v>800.0</v>
      </c>
      <c r="I28" s="2">
        <f t="shared" si="1"/>
        <v>5892.39</v>
      </c>
      <c r="J28" s="2">
        <f t="shared" si="2"/>
        <v>593.239</v>
      </c>
      <c r="K28" s="2">
        <f t="shared" si="3"/>
        <v>5299.151</v>
      </c>
    </row>
    <row r="29">
      <c r="H29" s="1">
        <v>850.0</v>
      </c>
      <c r="I29" s="2">
        <f t="shared" si="1"/>
        <v>6310.29</v>
      </c>
      <c r="J29" s="2">
        <f t="shared" si="2"/>
        <v>635.029</v>
      </c>
      <c r="K29" s="2">
        <f t="shared" si="3"/>
        <v>5675.261</v>
      </c>
    </row>
    <row r="30">
      <c r="H30" s="1">
        <v>900.0</v>
      </c>
      <c r="I30" s="2">
        <f t="shared" si="1"/>
        <v>6728.19</v>
      </c>
      <c r="J30" s="2">
        <f t="shared" si="2"/>
        <v>676.819</v>
      </c>
      <c r="K30" s="2">
        <f t="shared" si="3"/>
        <v>6051.371</v>
      </c>
    </row>
    <row r="31">
      <c r="H31" s="1">
        <v>950.0</v>
      </c>
      <c r="I31" s="2">
        <f t="shared" si="1"/>
        <v>7146.09</v>
      </c>
      <c r="J31" s="2">
        <f t="shared" si="2"/>
        <v>718.609</v>
      </c>
      <c r="K31" s="2">
        <f t="shared" si="3"/>
        <v>6427.481</v>
      </c>
    </row>
    <row r="32">
      <c r="H32" s="1">
        <v>1000.0</v>
      </c>
      <c r="I32" s="2">
        <f t="shared" si="1"/>
        <v>7563.99</v>
      </c>
      <c r="J32" s="2">
        <f t="shared" si="2"/>
        <v>760.399</v>
      </c>
      <c r="K32" s="2">
        <f t="shared" si="3"/>
        <v>6803.591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10</v>
      </c>
      <c r="C3" s="1">
        <v>1000.0</v>
      </c>
    </row>
    <row r="4">
      <c r="A4" s="1" t="s">
        <v>11</v>
      </c>
      <c r="C4" s="1">
        <v>0.385</v>
      </c>
    </row>
    <row r="7">
      <c r="B7" s="1" t="s">
        <v>0</v>
      </c>
      <c r="C7" s="1" t="s">
        <v>1</v>
      </c>
      <c r="D7" s="1" t="s">
        <v>2</v>
      </c>
      <c r="E7" s="1" t="s">
        <v>3</v>
      </c>
    </row>
    <row r="8">
      <c r="B8" s="1">
        <v>400.0</v>
      </c>
      <c r="C8" s="2">
        <f>4.179*2*(B8-95)</f>
        <v>2549.19</v>
      </c>
      <c r="D8" s="2">
        <f>C8/10+4</f>
        <v>258.919</v>
      </c>
      <c r="E8" s="2">
        <f>C8-D8</f>
        <v>2290.271</v>
      </c>
    </row>
    <row r="10">
      <c r="B10" s="1" t="s">
        <v>12</v>
      </c>
      <c r="C10" s="1" t="s">
        <v>13</v>
      </c>
    </row>
    <row r="11">
      <c r="B11" s="1">
        <v>20.0</v>
      </c>
      <c r="C11" s="2">
        <f>B11+(D8*10*1000)/(C4*1000*C3)</f>
        <v>26.72516883</v>
      </c>
    </row>
  </sheetData>
  <drawing r:id="rId1"/>
</worksheet>
</file>