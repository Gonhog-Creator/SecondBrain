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hidden" name="__Solver__" sheetId="2" r:id="rId5"/>
    <sheet state="hidden" name="__Solver___conflict655888643" sheetId="3" r:id="rId6"/>
    <sheet state="hidden" name="__Solver___conflict370605657" sheetId="4" r:id="rId7"/>
    <sheet state="hidden" name="__Solver___conflict920513822" sheetId="5" r:id="rId8"/>
    <sheet state="hidden" name="__Solver___conflict1054973960" sheetId="6" r:id="rId9"/>
    <sheet state="hidden" name="__Solver___conflict2083569777" sheetId="7" r:id="rId10"/>
    <sheet state="hidden" name="__Solver___conflict257838993" sheetId="8" r:id="rId11"/>
  </sheets>
  <definedNames/>
  <calcPr/>
</workbook>
</file>

<file path=xl/sharedStrings.xml><?xml version="1.0" encoding="utf-8"?>
<sst xmlns="http://schemas.openxmlformats.org/spreadsheetml/2006/main" count="39" uniqueCount="26">
  <si>
    <t>T</t>
  </si>
  <si>
    <t>U</t>
  </si>
  <si>
    <t>H</t>
  </si>
  <si>
    <t>V</t>
  </si>
  <si>
    <t xml:space="preserve">Theta </t>
  </si>
  <si>
    <t>R(z)(theta)</t>
  </si>
  <si>
    <t>Goal</t>
  </si>
  <si>
    <t>Time</t>
  </si>
  <si>
    <t>Upgrade amount</t>
  </si>
  <si>
    <t>Time w/o ups</t>
  </si>
  <si>
    <t>Initial Upgrade rate</t>
  </si>
  <si>
    <t>Initial level</t>
  </si>
  <si>
    <t>Rate / unit</t>
  </si>
  <si>
    <t>Initial Prod</t>
  </si>
  <si>
    <t>Final level</t>
  </si>
  <si>
    <t>Final Prod</t>
  </si>
  <si>
    <t>X</t>
  </si>
  <si>
    <t>Y</t>
  </si>
  <si>
    <t xml:space="preserve">Thermo </t>
  </si>
  <si>
    <t>T_H (K)</t>
  </si>
  <si>
    <t>T_C</t>
  </si>
  <si>
    <t>COP</t>
  </si>
  <si>
    <t>2023951696517264728</t>
  </si>
  <si>
    <t>up4IUcoNtrCHgZy</t>
  </si>
  <si>
    <t>MiJz</t>
  </si>
  <si>
    <t>Rg==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</si>
</sst>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sz val="10.0"/>
      <color rgb="FF000000"/>
      <name val="Arial"/>
    </font>
    <font>
      <sz val="10.0"/>
      <color rgb="FF000000"/>
      <name val="ArialMT"/>
    </font>
    <font>
      <sz val="6.0"/>
      <color rgb="FF000000"/>
      <name val="ArialMT"/>
    </font>
    <font>
      <sz val="12.0"/>
      <color rgb="FF000000"/>
      <name val="Arial"/>
    </font>
    <font>
      <sz val="12.0"/>
      <color theme="1"/>
      <name val="Arial"/>
      <scheme val="minor"/>
    </font>
    <font>
      <sz val="9.0"/>
      <color rgb="FF1155CC"/>
      <name val="&quot;Google Sans Mono&quot;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1C232"/>
        <bgColor rgb="FFF1C232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4" xfId="0" applyFont="1" applyNumberFormat="1"/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4" xfId="0" applyFont="1" applyNumberFormat="1"/>
    <xf borderId="0" fillId="0" fontId="2" numFmtId="4" xfId="0" applyAlignment="1" applyFont="1" applyNumberFormat="1">
      <alignment readingOrder="0"/>
    </xf>
    <xf borderId="0" fillId="0" fontId="0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Font="1"/>
    <xf borderId="0" fillId="0" fontId="4" numFmtId="0" xfId="0" applyFont="1"/>
    <xf borderId="0" fillId="0" fontId="5" numFmtId="0" xfId="0" applyAlignment="1" applyFont="1">
      <alignment readingOrder="0"/>
    </xf>
    <xf borderId="0" fillId="0" fontId="5" numFmtId="0" xfId="0" applyFont="1"/>
    <xf borderId="0" fillId="0" fontId="1" numFmtId="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4" xfId="0" applyAlignment="1" applyFont="1" applyNumberFormat="1">
      <alignment readingOrder="0"/>
    </xf>
    <xf borderId="0" fillId="0" fontId="7" numFmtId="11" xfId="0" applyFont="1" applyNumberFormat="1"/>
    <xf borderId="0" fillId="2" fontId="8" numFmtId="11" xfId="0" applyFill="1" applyFont="1" applyNumberFormat="1"/>
    <xf borderId="0" fillId="0" fontId="1" numFmtId="11" xfId="0" applyAlignment="1" applyFont="1" applyNumberFormat="1">
      <alignment readingOrder="0"/>
    </xf>
    <xf borderId="0" fillId="0" fontId="1" numFmtId="164" xfId="0" applyFont="1" applyNumberFormat="1"/>
    <xf borderId="0" fillId="0" fontId="7" numFmtId="11" xfId="0" applyAlignment="1" applyFont="1" applyNumberFormat="1">
      <alignment readingOrder="0"/>
    </xf>
    <xf borderId="0" fillId="3" fontId="1" numFmtId="11" xfId="0" applyAlignment="1" applyFill="1" applyFont="1" applyNumberFormat="1">
      <alignment readingOrder="0"/>
    </xf>
    <xf borderId="0" fillId="0" fontId="9" numFmtId="0" xfId="0" applyAlignment="1" applyFont="1">
      <alignment vertical="bottom"/>
    </xf>
    <xf borderId="0" fillId="0" fontId="9" numFmtId="4" xfId="0" applyAlignment="1" applyFont="1" applyNumberFormat="1">
      <alignment vertical="bottom"/>
    </xf>
    <xf borderId="0" fillId="0" fontId="9" numFmtId="164" xfId="0" applyAlignment="1" applyFont="1" applyNumberFormat="1">
      <alignment vertical="bottom"/>
    </xf>
    <xf borderId="0" fillId="4" fontId="1" numFmtId="0" xfId="0" applyAlignment="1" applyFill="1" applyFont="1">
      <alignment readingOrder="0"/>
    </xf>
    <xf borderId="0" fillId="0" fontId="1" numFmtId="11" xfId="0" applyFont="1" applyNumberFormat="1"/>
    <xf borderId="0" fillId="3" fontId="1" numFmtId="0" xfId="0" applyAlignment="1" applyFont="1">
      <alignment readingOrder="0"/>
    </xf>
    <xf borderId="0" fillId="0" fontId="6" numFmtId="11" xfId="0" applyAlignment="1" applyFont="1" applyNumberFormat="1">
      <alignment readingOrder="0"/>
    </xf>
    <xf borderId="0" fillId="0" fontId="1" numFmtId="0" xfId="0" applyFont="1"/>
    <xf borderId="0" fillId="0" fontId="1" numFmtId="3" xfId="0" applyFont="1" applyNumberFormat="1"/>
    <xf borderId="0" fillId="0" fontId="1" numFmtId="2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 vs. 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Sheet1!$H$3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cat>
            <c:strRef>
              <c:f>Sheet1!$G$4:$G$8</c:f>
            </c:strRef>
          </c:cat>
          <c:val>
            <c:numRef>
              <c:f>Sheet1!$H$4:$H$8</c:f>
              <c:numCache/>
            </c:numRef>
          </c:val>
          <c:smooth val="0"/>
        </c:ser>
        <c:axId val="1891010529"/>
        <c:axId val="1710486287"/>
      </c:lineChart>
      <c:catAx>
        <c:axId val="18910105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0486287"/>
      </c:catAx>
      <c:valAx>
        <c:axId val="17104862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10105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COP vs. T_C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Sheet1!$D$86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Sheet1!$C$87:$C$187</c:f>
            </c:strRef>
          </c:cat>
          <c:val>
            <c:numRef>
              <c:f>Sheet1!$D$87:$D$187</c:f>
              <c:numCache/>
            </c:numRef>
          </c:val>
          <c:smooth val="0"/>
        </c:ser>
        <c:axId val="893805971"/>
        <c:axId val="1397968244"/>
      </c:lineChart>
      <c:catAx>
        <c:axId val="8938059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T_C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7968244"/>
      </c:catAx>
      <c:valAx>
        <c:axId val="13979682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38059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 vs. X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Sheet1!$C$62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Sheet1!$B$63:$B$68</c:f>
            </c:numRef>
          </c:xVal>
          <c:yVal>
            <c:numRef>
              <c:f>Sheet1!$C$63:$C$68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4746976"/>
        <c:axId val="1819781997"/>
      </c:scatterChart>
      <c:valAx>
        <c:axId val="115474697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9781997"/>
      </c:valAx>
      <c:valAx>
        <c:axId val="18197819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47469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781050</xdr:colOff>
      <xdr:row>10</xdr:row>
      <xdr:rowOff>28575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200025</xdr:colOff>
      <xdr:row>88</xdr:row>
      <xdr:rowOff>209550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200025</xdr:colOff>
      <xdr:row>59</xdr:row>
      <xdr:rowOff>171450</xdr:rowOff>
    </xdr:from>
    <xdr:ext cx="4505325" cy="28956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4" max="4" width="14.38"/>
    <col customWidth="1" min="5" max="5" width="15.5"/>
  </cols>
  <sheetData>
    <row r="1">
      <c r="G1" s="1"/>
    </row>
    <row r="2">
      <c r="A2" s="2"/>
      <c r="B2" s="3">
        <v>100.0</v>
      </c>
      <c r="C2" s="2"/>
      <c r="D2" s="2"/>
      <c r="E2" s="2"/>
      <c r="F2" s="2"/>
      <c r="G2" s="4"/>
      <c r="H2" s="2"/>
    </row>
    <row r="3">
      <c r="A3" s="3" t="s">
        <v>0</v>
      </c>
      <c r="B3" s="3">
        <v>350.0</v>
      </c>
      <c r="C3" s="3">
        <v>450.0</v>
      </c>
      <c r="D3" s="3">
        <v>500.0</v>
      </c>
      <c r="E3" s="3">
        <v>600.0</v>
      </c>
      <c r="F3" s="2"/>
      <c r="G3" s="5" t="s">
        <v>0</v>
      </c>
      <c r="H3" s="3" t="s">
        <v>1</v>
      </c>
    </row>
    <row r="4">
      <c r="A4" s="3" t="s">
        <v>2</v>
      </c>
      <c r="B4" s="6">
        <v>1200.4</v>
      </c>
      <c r="C4" s="3">
        <v>1253.7</v>
      </c>
      <c r="D4" s="3">
        <v>1278.6</v>
      </c>
      <c r="E4" s="3">
        <v>1327.9</v>
      </c>
      <c r="F4" s="2"/>
      <c r="G4" s="4">
        <f t="array" ref="G4:G7">TRANSPOSE(B3:E3)</f>
        <v>350</v>
      </c>
      <c r="H4" s="2">
        <f t="array" ref="H4:H7">TRANSPOSE(B6:E6)</f>
        <v>1115.425121</v>
      </c>
    </row>
    <row r="5">
      <c r="A5" s="3" t="s">
        <v>3</v>
      </c>
      <c r="B5" s="7">
        <v>4.592</v>
      </c>
      <c r="C5" s="3">
        <v>5.266</v>
      </c>
      <c r="D5" s="3">
        <v>5.589</v>
      </c>
      <c r="E5" s="3">
        <v>6.217</v>
      </c>
      <c r="F5" s="2"/>
      <c r="G5" s="4">
        <v>450.0</v>
      </c>
      <c r="H5" s="2">
        <v>1156.2527623312578</v>
      </c>
      <c r="Q5" s="8" t="s">
        <v>4</v>
      </c>
      <c r="R5" s="8">
        <f>PI()*3/2</f>
        <v>4.71238898</v>
      </c>
    </row>
    <row r="6">
      <c r="A6" s="3" t="s">
        <v>1</v>
      </c>
      <c r="B6" s="9">
        <f t="shared" ref="B6:E6" si="1">B4-($B$2*B5)/5.40395</f>
        <v>1115.425121</v>
      </c>
      <c r="C6" s="9">
        <f t="shared" si="1"/>
        <v>1156.252762</v>
      </c>
      <c r="D6" s="9">
        <f t="shared" si="1"/>
        <v>1175.175653</v>
      </c>
      <c r="E6" s="9">
        <f t="shared" si="1"/>
        <v>1212.854524</v>
      </c>
      <c r="F6" s="2"/>
      <c r="G6" s="4">
        <v>500.0</v>
      </c>
      <c r="H6" s="2">
        <v>1175.1756529945687</v>
      </c>
    </row>
    <row r="7">
      <c r="A7" s="2"/>
      <c r="B7" s="9"/>
      <c r="C7" s="2"/>
      <c r="D7" s="2"/>
      <c r="E7" s="2"/>
      <c r="F7" s="2"/>
      <c r="G7" s="4">
        <v>600.0</v>
      </c>
      <c r="H7" s="2">
        <v>1212.8545240055887</v>
      </c>
      <c r="Q7" s="8" t="s">
        <v>5</v>
      </c>
      <c r="R7" s="10">
        <f>COS(R5)</f>
        <v>0</v>
      </c>
      <c r="S7" s="10">
        <f>-SIN(R5)</f>
        <v>1</v>
      </c>
      <c r="T7" s="8">
        <v>0.0</v>
      </c>
    </row>
    <row r="8">
      <c r="A8" s="2"/>
      <c r="B8" s="9"/>
      <c r="C8" s="2"/>
      <c r="D8" s="2"/>
      <c r="E8" s="2"/>
      <c r="F8" s="2"/>
      <c r="G8" s="4"/>
      <c r="H8" s="2"/>
      <c r="R8" s="10">
        <f>SIN(R5)</f>
        <v>-1</v>
      </c>
      <c r="S8" s="10">
        <f>COS(R5)</f>
        <v>0</v>
      </c>
      <c r="T8" s="8">
        <v>0.0</v>
      </c>
    </row>
    <row r="9">
      <c r="A9" s="2"/>
      <c r="B9" s="9"/>
      <c r="C9" s="2"/>
      <c r="D9" s="2"/>
      <c r="E9" s="2"/>
      <c r="F9" s="2"/>
      <c r="G9" s="4"/>
      <c r="H9" s="2"/>
      <c r="R9" s="8">
        <v>0.0</v>
      </c>
      <c r="S9" s="8">
        <v>0.0</v>
      </c>
      <c r="T9" s="8">
        <v>1.0</v>
      </c>
    </row>
    <row r="10">
      <c r="A10" s="2"/>
      <c r="B10" s="9"/>
      <c r="C10" s="2"/>
      <c r="D10" s="2"/>
      <c r="E10" s="2"/>
      <c r="F10" s="2"/>
      <c r="G10" s="4"/>
      <c r="H10" s="2"/>
    </row>
    <row r="11">
      <c r="A11" s="2"/>
      <c r="B11" s="9"/>
      <c r="C11" s="2"/>
      <c r="D11" s="2"/>
      <c r="E11" s="2"/>
      <c r="F11" s="2"/>
      <c r="G11" s="4"/>
      <c r="H11" s="2"/>
    </row>
    <row r="12">
      <c r="A12" s="2"/>
      <c r="B12" s="9"/>
      <c r="C12" s="2"/>
      <c r="D12" s="2"/>
      <c r="E12" s="2"/>
      <c r="F12" s="2"/>
      <c r="G12" s="4"/>
      <c r="H12" s="2"/>
    </row>
    <row r="13">
      <c r="A13" s="2"/>
      <c r="B13" s="11"/>
      <c r="C13" s="2"/>
      <c r="D13" s="2"/>
      <c r="E13" s="2"/>
      <c r="F13" s="2"/>
      <c r="G13" s="4"/>
      <c r="H13" s="2"/>
    </row>
    <row r="14">
      <c r="A14" s="2"/>
      <c r="B14" s="9"/>
      <c r="C14" s="2"/>
      <c r="D14" s="2"/>
      <c r="E14" s="2"/>
      <c r="F14" s="2"/>
      <c r="G14" s="4"/>
      <c r="H14" s="2"/>
    </row>
    <row r="15">
      <c r="A15" s="2"/>
      <c r="B15" s="11"/>
      <c r="C15" s="2"/>
      <c r="D15" s="2"/>
      <c r="E15" s="2"/>
      <c r="F15" s="2"/>
      <c r="G15" s="4"/>
      <c r="H15" s="2"/>
    </row>
    <row r="16">
      <c r="A16" s="2"/>
      <c r="B16" s="9"/>
      <c r="C16" s="2"/>
      <c r="D16" s="2"/>
      <c r="E16" s="2"/>
      <c r="F16" s="2"/>
      <c r="G16" s="4"/>
      <c r="H16" s="2"/>
    </row>
    <row r="17">
      <c r="A17" s="2"/>
      <c r="B17" s="11"/>
      <c r="C17" s="2"/>
      <c r="D17" s="2"/>
      <c r="E17" s="2"/>
      <c r="F17" s="2"/>
      <c r="G17" s="4"/>
      <c r="H17" s="2"/>
    </row>
    <row r="18">
      <c r="A18" s="2"/>
      <c r="B18" s="9"/>
      <c r="C18" s="2"/>
      <c r="D18" s="2"/>
      <c r="E18" s="2"/>
      <c r="F18" s="2"/>
      <c r="G18" s="4"/>
      <c r="H18" s="2"/>
    </row>
    <row r="19">
      <c r="A19" s="2"/>
      <c r="B19" s="7"/>
      <c r="C19" s="2"/>
      <c r="D19" s="2"/>
      <c r="E19" s="2"/>
      <c r="F19" s="2"/>
      <c r="G19" s="4"/>
      <c r="H19" s="2"/>
    </row>
    <row r="20">
      <c r="A20" s="2"/>
      <c r="B20" s="9"/>
      <c r="C20" s="2"/>
      <c r="D20" s="2"/>
      <c r="E20" s="2"/>
      <c r="F20" s="2"/>
      <c r="G20" s="4"/>
      <c r="H20" s="2"/>
    </row>
    <row r="21">
      <c r="A21" s="2"/>
      <c r="B21" s="11"/>
      <c r="C21" s="2"/>
      <c r="D21" s="2"/>
      <c r="E21" s="2"/>
      <c r="F21" s="2"/>
      <c r="G21" s="4"/>
      <c r="H21" s="2"/>
    </row>
    <row r="22">
      <c r="A22" s="2"/>
      <c r="B22" s="9"/>
      <c r="C22" s="2"/>
      <c r="D22" s="2"/>
      <c r="E22" s="2"/>
      <c r="F22" s="2"/>
      <c r="G22" s="4"/>
      <c r="H22" s="2"/>
    </row>
    <row r="23">
      <c r="A23" s="2"/>
      <c r="B23" s="11"/>
      <c r="C23" s="2"/>
      <c r="D23" s="2"/>
      <c r="E23" s="2"/>
      <c r="F23" s="2"/>
      <c r="G23" s="4"/>
      <c r="H23" s="2"/>
    </row>
    <row r="24">
      <c r="A24" s="2"/>
      <c r="B24" s="9"/>
      <c r="C24" s="2"/>
      <c r="D24" s="2"/>
      <c r="E24" s="2"/>
      <c r="F24" s="2"/>
      <c r="G24" s="4"/>
      <c r="H24" s="2"/>
    </row>
    <row r="25">
      <c r="A25" s="2"/>
      <c r="B25" s="11"/>
      <c r="C25" s="2"/>
      <c r="D25" s="2"/>
      <c r="E25" s="2"/>
      <c r="F25" s="2"/>
      <c r="G25" s="4"/>
      <c r="H25" s="2"/>
    </row>
    <row r="26">
      <c r="A26" s="2"/>
      <c r="B26" s="9"/>
      <c r="C26" s="2"/>
      <c r="D26" s="2"/>
      <c r="E26" s="2"/>
      <c r="F26" s="2"/>
      <c r="G26" s="4"/>
      <c r="H26" s="2"/>
    </row>
    <row r="27">
      <c r="A27" s="2"/>
      <c r="B27" s="11"/>
      <c r="C27" s="2"/>
      <c r="D27" s="2"/>
      <c r="E27" s="2"/>
      <c r="F27" s="2"/>
      <c r="G27" s="4"/>
      <c r="H27" s="2"/>
    </row>
    <row r="28">
      <c r="A28" s="2"/>
      <c r="B28" s="9"/>
      <c r="C28" s="2"/>
      <c r="D28" s="2"/>
      <c r="E28" s="2"/>
      <c r="F28" s="2"/>
      <c r="G28" s="4"/>
      <c r="H28" s="2"/>
    </row>
    <row r="29">
      <c r="B29" s="12"/>
      <c r="G29" s="1"/>
    </row>
    <row r="30">
      <c r="B30" s="13"/>
      <c r="G30" s="1"/>
    </row>
    <row r="31">
      <c r="B31" s="12"/>
      <c r="G31" s="1"/>
    </row>
    <row r="32">
      <c r="B32" s="13"/>
      <c r="G32" s="1"/>
    </row>
    <row r="33">
      <c r="B33" s="12"/>
      <c r="G33" s="1"/>
    </row>
    <row r="34">
      <c r="B34" s="13"/>
      <c r="G34" s="1"/>
    </row>
    <row r="35">
      <c r="B35" s="12"/>
      <c r="G35" s="1"/>
    </row>
    <row r="36">
      <c r="B36" s="13"/>
      <c r="G36" s="1"/>
    </row>
    <row r="37">
      <c r="B37" s="12"/>
      <c r="F37" s="12"/>
      <c r="G37" s="14"/>
    </row>
    <row r="38">
      <c r="B38" s="15"/>
      <c r="C38" s="16"/>
      <c r="E38" s="1"/>
      <c r="F38" s="15"/>
      <c r="G38" s="17"/>
      <c r="I38" s="1"/>
    </row>
    <row r="39">
      <c r="B39" s="15"/>
      <c r="C39" s="18"/>
      <c r="F39" s="15"/>
      <c r="G39" s="19"/>
    </row>
    <row r="40">
      <c r="B40" s="15"/>
      <c r="C40" s="18"/>
      <c r="D40" s="20"/>
      <c r="G40" s="1"/>
    </row>
    <row r="41">
      <c r="B41" s="15"/>
      <c r="C41" s="18"/>
      <c r="F41" s="1"/>
      <c r="G41" s="1"/>
    </row>
    <row r="42">
      <c r="B42" s="15"/>
      <c r="C42" s="18"/>
      <c r="F42" s="1"/>
      <c r="G42" s="1"/>
      <c r="H42" s="21"/>
    </row>
    <row r="43">
      <c r="B43" s="15"/>
      <c r="C43" s="22"/>
      <c r="E43" s="8" t="s">
        <v>6</v>
      </c>
      <c r="F43" s="23">
        <v>1.0E14</v>
      </c>
      <c r="G43" s="20" t="s">
        <v>7</v>
      </c>
      <c r="H43" s="1">
        <f>IF(F44=0,(F43/(F46*F47)/60),((F43+F45*(1.16)^F44)/((F46+F44)*F47))/60)</f>
        <v>43.50709101</v>
      </c>
      <c r="J43" s="24"/>
      <c r="K43" s="25"/>
      <c r="L43" s="25"/>
      <c r="M43" s="26"/>
    </row>
    <row r="44">
      <c r="C44" s="15"/>
      <c r="E44" s="8" t="s">
        <v>8</v>
      </c>
      <c r="F44" s="27">
        <v>7.42109125672876</v>
      </c>
      <c r="G44" s="20" t="s">
        <v>9</v>
      </c>
      <c r="H44" s="1">
        <f>(F43/(F46*F47)/60)</f>
        <v>53.41880342</v>
      </c>
      <c r="K44" s="20"/>
      <c r="L44" s="20"/>
      <c r="M44" s="1"/>
    </row>
    <row r="45">
      <c r="C45" s="15"/>
      <c r="E45" s="8" t="s">
        <v>10</v>
      </c>
      <c r="F45" s="23">
        <v>6.08E13</v>
      </c>
      <c r="G45" s="28"/>
      <c r="H45" s="28"/>
      <c r="K45" s="8"/>
      <c r="L45" s="20"/>
      <c r="M45" s="1"/>
    </row>
    <row r="46">
      <c r="C46" s="15"/>
      <c r="E46" s="8" t="s">
        <v>11</v>
      </c>
      <c r="F46" s="29">
        <v>3.0</v>
      </c>
      <c r="G46" s="28"/>
      <c r="H46" s="28"/>
      <c r="K46" s="8"/>
      <c r="L46" s="28"/>
      <c r="M46" s="28"/>
    </row>
    <row r="47">
      <c r="C47" s="30"/>
      <c r="E47" s="8" t="s">
        <v>12</v>
      </c>
      <c r="F47" s="23">
        <v>1.04E10</v>
      </c>
      <c r="G47" s="20" t="s">
        <v>13</v>
      </c>
      <c r="H47" s="28">
        <f>F46*F47</f>
        <v>31200000000</v>
      </c>
      <c r="K47" s="8"/>
      <c r="L47" s="28"/>
      <c r="M47" s="28"/>
    </row>
    <row r="48">
      <c r="B48" s="15"/>
      <c r="C48" s="30"/>
      <c r="E48" s="8" t="s">
        <v>14</v>
      </c>
      <c r="F48" s="31">
        <f>Roundup(F46+F44)</f>
        <v>11</v>
      </c>
      <c r="G48" s="20" t="s">
        <v>15</v>
      </c>
      <c r="H48" s="28">
        <f>F48*F47</f>
        <v>114400000000</v>
      </c>
      <c r="K48" s="8"/>
      <c r="L48" s="20"/>
    </row>
    <row r="49">
      <c r="B49" s="15"/>
      <c r="C49" s="15"/>
      <c r="F49" s="32"/>
      <c r="G49" s="32"/>
      <c r="H49" s="32"/>
      <c r="L49" s="20"/>
    </row>
    <row r="50">
      <c r="B50" s="15"/>
      <c r="C50" s="15"/>
      <c r="E50" s="8" t="s">
        <v>6</v>
      </c>
      <c r="F50" s="23">
        <v>4.0E13</v>
      </c>
      <c r="G50" s="20" t="s">
        <v>7</v>
      </c>
      <c r="H50" s="1">
        <f>IF(F51=0,(F50/(F53*F54)/60),((F50+F52*(1.16)^F51)/((F53+F51)*F54))/60)</f>
        <v>11.99040767</v>
      </c>
    </row>
    <row r="51">
      <c r="B51" s="15"/>
      <c r="C51" s="15"/>
      <c r="E51" s="8" t="s">
        <v>8</v>
      </c>
      <c r="F51" s="27">
        <v>0.0</v>
      </c>
      <c r="G51" s="20" t="s">
        <v>9</v>
      </c>
      <c r="H51" s="1">
        <f>(F50/(F53*F54)/60)</f>
        <v>11.99040767</v>
      </c>
    </row>
    <row r="52">
      <c r="B52" s="30"/>
      <c r="C52" s="15"/>
      <c r="E52" s="8" t="s">
        <v>10</v>
      </c>
      <c r="F52" s="23">
        <v>8.04E10</v>
      </c>
      <c r="G52" s="28"/>
      <c r="H52" s="28"/>
    </row>
    <row r="53">
      <c r="B53" s="30"/>
      <c r="C53" s="15"/>
      <c r="E53" s="8" t="s">
        <v>11</v>
      </c>
      <c r="F53" s="29">
        <v>40.0</v>
      </c>
      <c r="G53" s="28"/>
      <c r="H53" s="28"/>
      <c r="I53" s="1"/>
    </row>
    <row r="54">
      <c r="B54" s="15"/>
      <c r="C54" s="15"/>
      <c r="E54" s="8" t="s">
        <v>12</v>
      </c>
      <c r="F54" s="23">
        <v>1.39E9</v>
      </c>
      <c r="G54" s="20" t="s">
        <v>13</v>
      </c>
      <c r="H54" s="28">
        <f>F53*F54</f>
        <v>55600000000</v>
      </c>
    </row>
    <row r="55">
      <c r="B55" s="15"/>
      <c r="C55" s="15"/>
      <c r="E55" s="8" t="s">
        <v>14</v>
      </c>
      <c r="F55" s="31">
        <f>Roundup(F53+F51)</f>
        <v>40</v>
      </c>
      <c r="G55" s="20" t="s">
        <v>15</v>
      </c>
      <c r="H55" s="28">
        <f>F55*F54</f>
        <v>55600000000</v>
      </c>
    </row>
    <row r="56">
      <c r="C56" s="15"/>
      <c r="G56" s="1"/>
    </row>
    <row r="57">
      <c r="C57" s="15"/>
      <c r="G57" s="1"/>
    </row>
    <row r="58">
      <c r="C58" s="15"/>
      <c r="G58" s="1"/>
    </row>
    <row r="59">
      <c r="C59" s="15"/>
      <c r="G59" s="1"/>
    </row>
    <row r="60">
      <c r="C60" s="15"/>
      <c r="G60" s="1"/>
    </row>
    <row r="61">
      <c r="C61" s="15"/>
      <c r="G61" s="1"/>
    </row>
    <row r="62">
      <c r="B62" s="8" t="s">
        <v>16</v>
      </c>
      <c r="C62" s="15" t="s">
        <v>17</v>
      </c>
      <c r="G62" s="1"/>
    </row>
    <row r="63">
      <c r="B63" s="8">
        <v>30.0</v>
      </c>
      <c r="C63" s="15">
        <v>72.0</v>
      </c>
      <c r="G63" s="1"/>
    </row>
    <row r="64">
      <c r="B64" s="8">
        <v>40.0</v>
      </c>
      <c r="C64" s="15">
        <v>67.0</v>
      </c>
      <c r="E64" s="10">
        <f t="array" ref="E64:F68">LINEST(C63:C67,B63:B67,1,1)</f>
        <v>-0.72</v>
      </c>
      <c r="F64" s="10">
        <v>95.59999999999995</v>
      </c>
      <c r="G64" s="1"/>
    </row>
    <row r="65">
      <c r="B65" s="8">
        <v>50.0</v>
      </c>
      <c r="C65" s="15">
        <v>62.0</v>
      </c>
      <c r="E65" s="10">
        <v>0.09451631252505216</v>
      </c>
      <c r="F65" s="10">
        <v>4.91121166312347</v>
      </c>
      <c r="G65" s="1"/>
    </row>
    <row r="66">
      <c r="B66" s="8">
        <v>60.0</v>
      </c>
      <c r="C66" s="15">
        <v>55.0</v>
      </c>
      <c r="E66" s="10">
        <v>0.9508437270726339</v>
      </c>
      <c r="F66" s="10">
        <v>2.9888682361946537</v>
      </c>
      <c r="G66" s="1"/>
    </row>
    <row r="67">
      <c r="B67" s="8">
        <v>70.0</v>
      </c>
      <c r="C67" s="15">
        <v>42.0</v>
      </c>
      <c r="E67" s="10">
        <v>58.029850746268615</v>
      </c>
      <c r="F67" s="10">
        <v>3.0</v>
      </c>
      <c r="G67" s="1"/>
    </row>
    <row r="68">
      <c r="C68" s="15"/>
      <c r="E68" s="10">
        <v>518.4</v>
      </c>
      <c r="F68" s="10">
        <v>26.80000000000002</v>
      </c>
      <c r="G68" s="1"/>
    </row>
    <row r="69">
      <c r="C69" s="15"/>
      <c r="G69" s="1"/>
    </row>
    <row r="70">
      <c r="C70" s="15"/>
      <c r="G70" s="1"/>
    </row>
    <row r="71">
      <c r="C71" s="15"/>
      <c r="G71" s="1"/>
    </row>
    <row r="72">
      <c r="C72" s="15"/>
      <c r="G72" s="1"/>
    </row>
    <row r="73">
      <c r="C73" s="15"/>
      <c r="G73" s="1"/>
    </row>
    <row r="74">
      <c r="C74" s="15"/>
      <c r="G74" s="1"/>
    </row>
    <row r="75">
      <c r="C75" s="15"/>
      <c r="G75" s="1"/>
    </row>
    <row r="76">
      <c r="C76" s="15"/>
      <c r="G76" s="1"/>
    </row>
    <row r="77">
      <c r="C77" s="15"/>
      <c r="G77" s="1"/>
    </row>
    <row r="78">
      <c r="C78" s="15"/>
      <c r="G78" s="1"/>
    </row>
    <row r="79">
      <c r="C79" s="15"/>
      <c r="G79" s="1"/>
    </row>
    <row r="80">
      <c r="C80" s="15"/>
      <c r="G80" s="1"/>
    </row>
    <row r="81">
      <c r="C81" s="15"/>
      <c r="G81" s="1"/>
    </row>
    <row r="82">
      <c r="C82" s="15"/>
      <c r="G82" s="1"/>
    </row>
    <row r="83">
      <c r="C83" s="15"/>
      <c r="G83" s="1"/>
    </row>
    <row r="84">
      <c r="C84" s="15"/>
      <c r="G84" s="1"/>
    </row>
    <row r="85">
      <c r="A85" s="8" t="s">
        <v>18</v>
      </c>
      <c r="C85" s="15"/>
      <c r="G85" s="1"/>
    </row>
    <row r="86">
      <c r="B86" s="8" t="s">
        <v>19</v>
      </c>
      <c r="C86" s="15" t="s">
        <v>20</v>
      </c>
      <c r="D86" s="8" t="s">
        <v>21</v>
      </c>
      <c r="G86" s="1"/>
    </row>
    <row r="87">
      <c r="B87" s="8">
        <v>300.0</v>
      </c>
      <c r="C87" s="15">
        <v>0.0</v>
      </c>
      <c r="D87" s="33">
        <f t="shared" ref="D87:D187" si="2">C87/(B87-C87)</f>
        <v>0</v>
      </c>
      <c r="G87" s="1"/>
    </row>
    <row r="88">
      <c r="B88" s="8">
        <v>300.0</v>
      </c>
      <c r="C88" s="15">
        <v>5.0</v>
      </c>
      <c r="D88" s="33">
        <f t="shared" si="2"/>
        <v>0.01694915254</v>
      </c>
      <c r="G88" s="1"/>
    </row>
    <row r="89">
      <c r="B89" s="8">
        <v>300.0</v>
      </c>
      <c r="C89" s="15">
        <v>10.0</v>
      </c>
      <c r="D89" s="33">
        <f t="shared" si="2"/>
        <v>0.03448275862</v>
      </c>
      <c r="G89" s="1"/>
    </row>
    <row r="90">
      <c r="B90" s="8">
        <v>300.0</v>
      </c>
      <c r="C90" s="15">
        <v>15.0</v>
      </c>
      <c r="D90" s="33">
        <f t="shared" si="2"/>
        <v>0.05263157895</v>
      </c>
      <c r="G90" s="1"/>
    </row>
    <row r="91">
      <c r="B91" s="8">
        <v>300.0</v>
      </c>
      <c r="C91" s="15">
        <v>20.0</v>
      </c>
      <c r="D91" s="33">
        <f t="shared" si="2"/>
        <v>0.07142857143</v>
      </c>
      <c r="G91" s="1"/>
    </row>
    <row r="92">
      <c r="B92" s="8">
        <v>300.0</v>
      </c>
      <c r="C92" s="15">
        <v>25.0</v>
      </c>
      <c r="D92" s="33">
        <f t="shared" si="2"/>
        <v>0.09090909091</v>
      </c>
      <c r="G92" s="1"/>
    </row>
    <row r="93">
      <c r="B93" s="8">
        <v>300.0</v>
      </c>
      <c r="C93" s="15">
        <v>30.0</v>
      </c>
      <c r="D93" s="33">
        <f t="shared" si="2"/>
        <v>0.1111111111</v>
      </c>
      <c r="G93" s="1"/>
    </row>
    <row r="94">
      <c r="B94" s="8">
        <v>300.0</v>
      </c>
      <c r="C94" s="15">
        <v>35.0</v>
      </c>
      <c r="D94" s="33">
        <f t="shared" si="2"/>
        <v>0.1320754717</v>
      </c>
      <c r="G94" s="1"/>
    </row>
    <row r="95">
      <c r="B95" s="8">
        <v>300.0</v>
      </c>
      <c r="C95" s="15">
        <v>40.0</v>
      </c>
      <c r="D95" s="33">
        <f t="shared" si="2"/>
        <v>0.1538461538</v>
      </c>
      <c r="G95" s="1"/>
    </row>
    <row r="96">
      <c r="B96" s="8">
        <v>300.0</v>
      </c>
      <c r="C96" s="15">
        <v>45.0</v>
      </c>
      <c r="D96" s="33">
        <f t="shared" si="2"/>
        <v>0.1764705882</v>
      </c>
      <c r="G96" s="1"/>
    </row>
    <row r="97">
      <c r="B97" s="8">
        <v>300.0</v>
      </c>
      <c r="C97" s="15">
        <v>50.0</v>
      </c>
      <c r="D97" s="33">
        <f t="shared" si="2"/>
        <v>0.2</v>
      </c>
      <c r="G97" s="1"/>
    </row>
    <row r="98">
      <c r="B98" s="8">
        <v>300.0</v>
      </c>
      <c r="C98" s="15">
        <v>55.0</v>
      </c>
      <c r="D98" s="33">
        <f t="shared" si="2"/>
        <v>0.2244897959</v>
      </c>
      <c r="G98" s="1"/>
    </row>
    <row r="99">
      <c r="B99" s="8">
        <v>300.0</v>
      </c>
      <c r="C99" s="15">
        <v>60.0</v>
      </c>
      <c r="D99" s="33">
        <f t="shared" si="2"/>
        <v>0.25</v>
      </c>
      <c r="G99" s="1"/>
    </row>
    <row r="100">
      <c r="B100" s="8">
        <v>300.0</v>
      </c>
      <c r="C100" s="15">
        <v>65.0</v>
      </c>
      <c r="D100" s="33">
        <f t="shared" si="2"/>
        <v>0.2765957447</v>
      </c>
      <c r="G100" s="1"/>
    </row>
    <row r="101">
      <c r="B101" s="8">
        <v>300.0</v>
      </c>
      <c r="C101" s="15">
        <v>70.0</v>
      </c>
      <c r="D101" s="33">
        <f t="shared" si="2"/>
        <v>0.3043478261</v>
      </c>
      <c r="G101" s="1"/>
    </row>
    <row r="102">
      <c r="B102" s="8">
        <v>300.0</v>
      </c>
      <c r="C102" s="15">
        <v>75.0</v>
      </c>
      <c r="D102" s="33">
        <f t="shared" si="2"/>
        <v>0.3333333333</v>
      </c>
      <c r="G102" s="1"/>
    </row>
    <row r="103">
      <c r="B103" s="8">
        <v>300.0</v>
      </c>
      <c r="C103" s="15">
        <v>80.0</v>
      </c>
      <c r="D103" s="33">
        <f t="shared" si="2"/>
        <v>0.3636363636</v>
      </c>
      <c r="G103" s="1"/>
    </row>
    <row r="104">
      <c r="B104" s="8">
        <v>300.0</v>
      </c>
      <c r="C104" s="15">
        <v>85.0</v>
      </c>
      <c r="D104" s="33">
        <f t="shared" si="2"/>
        <v>0.3953488372</v>
      </c>
      <c r="G104" s="1"/>
    </row>
    <row r="105">
      <c r="B105" s="8">
        <v>300.0</v>
      </c>
      <c r="C105" s="15">
        <v>90.0</v>
      </c>
      <c r="D105" s="33">
        <f t="shared" si="2"/>
        <v>0.4285714286</v>
      </c>
      <c r="G105" s="1"/>
    </row>
    <row r="106">
      <c r="B106" s="8">
        <v>300.0</v>
      </c>
      <c r="C106" s="15">
        <v>95.0</v>
      </c>
      <c r="D106" s="33">
        <f t="shared" si="2"/>
        <v>0.4634146341</v>
      </c>
      <c r="G106" s="1"/>
    </row>
    <row r="107">
      <c r="B107" s="8">
        <v>300.0</v>
      </c>
      <c r="C107" s="15">
        <v>100.0</v>
      </c>
      <c r="D107" s="33">
        <f t="shared" si="2"/>
        <v>0.5</v>
      </c>
      <c r="G107" s="1"/>
    </row>
    <row r="108">
      <c r="B108" s="8">
        <v>300.0</v>
      </c>
      <c r="C108" s="15">
        <v>105.0</v>
      </c>
      <c r="D108" s="33">
        <f t="shared" si="2"/>
        <v>0.5384615385</v>
      </c>
      <c r="G108" s="1"/>
    </row>
    <row r="109">
      <c r="B109" s="8">
        <v>300.0</v>
      </c>
      <c r="C109" s="15">
        <v>110.0</v>
      </c>
      <c r="D109" s="33">
        <f t="shared" si="2"/>
        <v>0.5789473684</v>
      </c>
      <c r="G109" s="1"/>
    </row>
    <row r="110">
      <c r="B110" s="8">
        <v>300.0</v>
      </c>
      <c r="C110" s="15">
        <v>115.0</v>
      </c>
      <c r="D110" s="33">
        <f t="shared" si="2"/>
        <v>0.6216216216</v>
      </c>
      <c r="G110" s="1"/>
    </row>
    <row r="111">
      <c r="B111" s="8">
        <v>300.0</v>
      </c>
      <c r="C111" s="15">
        <v>120.0</v>
      </c>
      <c r="D111" s="33">
        <f t="shared" si="2"/>
        <v>0.6666666667</v>
      </c>
      <c r="G111" s="1"/>
    </row>
    <row r="112">
      <c r="B112" s="8">
        <v>300.0</v>
      </c>
      <c r="C112" s="15">
        <v>125.0</v>
      </c>
      <c r="D112" s="33">
        <f t="shared" si="2"/>
        <v>0.7142857143</v>
      </c>
      <c r="G112" s="1"/>
    </row>
    <row r="113">
      <c r="B113" s="8">
        <v>300.0</v>
      </c>
      <c r="C113" s="15">
        <v>130.0</v>
      </c>
      <c r="D113" s="33">
        <f t="shared" si="2"/>
        <v>0.7647058824</v>
      </c>
      <c r="G113" s="1"/>
    </row>
    <row r="114">
      <c r="B114" s="8">
        <v>300.0</v>
      </c>
      <c r="C114" s="15">
        <v>135.0</v>
      </c>
      <c r="D114" s="33">
        <f t="shared" si="2"/>
        <v>0.8181818182</v>
      </c>
      <c r="G114" s="1"/>
    </row>
    <row r="115">
      <c r="B115" s="8">
        <v>300.0</v>
      </c>
      <c r="C115" s="15">
        <v>140.0</v>
      </c>
      <c r="D115" s="33">
        <f t="shared" si="2"/>
        <v>0.875</v>
      </c>
      <c r="G115" s="1"/>
    </row>
    <row r="116">
      <c r="B116" s="8">
        <v>300.0</v>
      </c>
      <c r="C116" s="15">
        <v>145.0</v>
      </c>
      <c r="D116" s="33">
        <f t="shared" si="2"/>
        <v>0.935483871</v>
      </c>
      <c r="G116" s="1"/>
    </row>
    <row r="117">
      <c r="B117" s="8">
        <v>300.0</v>
      </c>
      <c r="C117" s="15">
        <v>150.0</v>
      </c>
      <c r="D117" s="33">
        <f t="shared" si="2"/>
        <v>1</v>
      </c>
      <c r="G117" s="1"/>
    </row>
    <row r="118">
      <c r="B118" s="8">
        <v>300.0</v>
      </c>
      <c r="C118" s="15">
        <v>155.0</v>
      </c>
      <c r="D118" s="33">
        <f t="shared" si="2"/>
        <v>1.068965517</v>
      </c>
      <c r="G118" s="1"/>
    </row>
    <row r="119">
      <c r="B119" s="8">
        <v>300.0</v>
      </c>
      <c r="C119" s="15">
        <v>160.0</v>
      </c>
      <c r="D119" s="33">
        <f t="shared" si="2"/>
        <v>1.142857143</v>
      </c>
      <c r="G119" s="1"/>
    </row>
    <row r="120">
      <c r="B120" s="8">
        <v>300.0</v>
      </c>
      <c r="C120" s="15">
        <v>165.0</v>
      </c>
      <c r="D120" s="33">
        <f t="shared" si="2"/>
        <v>1.222222222</v>
      </c>
      <c r="G120" s="1"/>
    </row>
    <row r="121">
      <c r="B121" s="8">
        <v>300.0</v>
      </c>
      <c r="C121" s="15">
        <v>170.0</v>
      </c>
      <c r="D121" s="33">
        <f t="shared" si="2"/>
        <v>1.307692308</v>
      </c>
      <c r="G121" s="1"/>
    </row>
    <row r="122">
      <c r="B122" s="8">
        <v>300.0</v>
      </c>
      <c r="C122" s="15">
        <v>175.0</v>
      </c>
      <c r="D122" s="33">
        <f t="shared" si="2"/>
        <v>1.4</v>
      </c>
      <c r="G122" s="1"/>
    </row>
    <row r="123">
      <c r="B123" s="8">
        <v>300.0</v>
      </c>
      <c r="C123" s="15">
        <v>180.0</v>
      </c>
      <c r="D123" s="33">
        <f t="shared" si="2"/>
        <v>1.5</v>
      </c>
      <c r="G123" s="1"/>
    </row>
    <row r="124">
      <c r="B124" s="8">
        <v>300.0</v>
      </c>
      <c r="C124" s="15">
        <v>185.0</v>
      </c>
      <c r="D124" s="33">
        <f t="shared" si="2"/>
        <v>1.608695652</v>
      </c>
      <c r="G124" s="1"/>
    </row>
    <row r="125">
      <c r="B125" s="8">
        <v>300.0</v>
      </c>
      <c r="C125" s="15">
        <v>190.0</v>
      </c>
      <c r="D125" s="33">
        <f t="shared" si="2"/>
        <v>1.727272727</v>
      </c>
      <c r="G125" s="1"/>
    </row>
    <row r="126">
      <c r="B126" s="8">
        <v>300.0</v>
      </c>
      <c r="C126" s="15">
        <v>195.0</v>
      </c>
      <c r="D126" s="33">
        <f t="shared" si="2"/>
        <v>1.857142857</v>
      </c>
      <c r="G126" s="1"/>
    </row>
    <row r="127">
      <c r="B127" s="8">
        <v>300.0</v>
      </c>
      <c r="C127" s="15">
        <v>200.0</v>
      </c>
      <c r="D127" s="33">
        <f t="shared" si="2"/>
        <v>2</v>
      </c>
      <c r="G127" s="1"/>
    </row>
    <row r="128">
      <c r="B128" s="8">
        <v>300.0</v>
      </c>
      <c r="C128" s="15">
        <v>205.0</v>
      </c>
      <c r="D128" s="33">
        <f t="shared" si="2"/>
        <v>2.157894737</v>
      </c>
      <c r="G128" s="1"/>
    </row>
    <row r="129">
      <c r="B129" s="8">
        <v>300.0</v>
      </c>
      <c r="C129" s="15">
        <v>210.0</v>
      </c>
      <c r="D129" s="33">
        <f t="shared" si="2"/>
        <v>2.333333333</v>
      </c>
      <c r="G129" s="1"/>
    </row>
    <row r="130">
      <c r="B130" s="8">
        <v>300.0</v>
      </c>
      <c r="C130" s="15">
        <v>215.0</v>
      </c>
      <c r="D130" s="33">
        <f t="shared" si="2"/>
        <v>2.529411765</v>
      </c>
      <c r="G130" s="1"/>
    </row>
    <row r="131">
      <c r="B131" s="8">
        <v>300.0</v>
      </c>
      <c r="C131" s="15">
        <v>220.0</v>
      </c>
      <c r="D131" s="33">
        <f t="shared" si="2"/>
        <v>2.75</v>
      </c>
      <c r="G131" s="1"/>
    </row>
    <row r="132">
      <c r="B132" s="8">
        <v>300.0</v>
      </c>
      <c r="C132" s="15">
        <v>225.0</v>
      </c>
      <c r="D132" s="33">
        <f t="shared" si="2"/>
        <v>3</v>
      </c>
      <c r="G132" s="1"/>
    </row>
    <row r="133">
      <c r="B133" s="8">
        <v>300.0</v>
      </c>
      <c r="C133" s="15">
        <v>230.0</v>
      </c>
      <c r="D133" s="33">
        <f t="shared" si="2"/>
        <v>3.285714286</v>
      </c>
      <c r="G133" s="1"/>
    </row>
    <row r="134">
      <c r="B134" s="8">
        <v>300.0</v>
      </c>
      <c r="C134" s="15">
        <v>235.0</v>
      </c>
      <c r="D134" s="33">
        <f t="shared" si="2"/>
        <v>3.615384615</v>
      </c>
      <c r="G134" s="1"/>
    </row>
    <row r="135">
      <c r="B135" s="8">
        <v>300.0</v>
      </c>
      <c r="C135" s="15">
        <v>240.0</v>
      </c>
      <c r="D135" s="33">
        <f t="shared" si="2"/>
        <v>4</v>
      </c>
      <c r="G135" s="1"/>
    </row>
    <row r="136">
      <c r="B136" s="8">
        <v>300.0</v>
      </c>
      <c r="C136" s="15">
        <v>245.0</v>
      </c>
      <c r="D136" s="33">
        <f t="shared" si="2"/>
        <v>4.454545455</v>
      </c>
      <c r="G136" s="1"/>
    </row>
    <row r="137">
      <c r="B137" s="8">
        <v>300.0</v>
      </c>
      <c r="C137" s="15">
        <v>250.0</v>
      </c>
      <c r="D137" s="33">
        <f t="shared" si="2"/>
        <v>5</v>
      </c>
      <c r="G137" s="1"/>
    </row>
    <row r="138">
      <c r="B138" s="8">
        <v>300.0</v>
      </c>
      <c r="C138" s="15">
        <v>255.0</v>
      </c>
      <c r="D138" s="33">
        <f t="shared" si="2"/>
        <v>5.666666667</v>
      </c>
      <c r="G138" s="1"/>
    </row>
    <row r="139">
      <c r="B139" s="8">
        <v>300.0</v>
      </c>
      <c r="C139" s="15">
        <v>260.0</v>
      </c>
      <c r="D139" s="33">
        <f t="shared" si="2"/>
        <v>6.5</v>
      </c>
      <c r="G139" s="1"/>
    </row>
    <row r="140">
      <c r="B140" s="8">
        <v>300.0</v>
      </c>
      <c r="C140" s="15">
        <v>265.0</v>
      </c>
      <c r="D140" s="33">
        <f t="shared" si="2"/>
        <v>7.571428571</v>
      </c>
      <c r="G140" s="1"/>
    </row>
    <row r="141">
      <c r="B141" s="8">
        <v>300.0</v>
      </c>
      <c r="C141" s="15">
        <v>270.0</v>
      </c>
      <c r="D141" s="33">
        <f t="shared" si="2"/>
        <v>9</v>
      </c>
      <c r="G141" s="1"/>
    </row>
    <row r="142">
      <c r="B142" s="8">
        <v>300.0</v>
      </c>
      <c r="C142" s="15">
        <v>275.0</v>
      </c>
      <c r="D142" s="33">
        <f t="shared" si="2"/>
        <v>11</v>
      </c>
      <c r="G142" s="1"/>
    </row>
    <row r="143">
      <c r="B143" s="8">
        <v>300.0</v>
      </c>
      <c r="C143" s="15">
        <v>280.0</v>
      </c>
      <c r="D143" s="33">
        <f t="shared" si="2"/>
        <v>14</v>
      </c>
      <c r="G143" s="1"/>
    </row>
    <row r="144">
      <c r="B144" s="8">
        <v>300.0</v>
      </c>
      <c r="C144" s="15">
        <v>285.0</v>
      </c>
      <c r="D144" s="33">
        <f t="shared" si="2"/>
        <v>19</v>
      </c>
      <c r="G144" s="1"/>
    </row>
    <row r="145">
      <c r="B145" s="8">
        <v>300.0</v>
      </c>
      <c r="C145" s="15">
        <v>290.0</v>
      </c>
      <c r="D145" s="33">
        <f t="shared" si="2"/>
        <v>29</v>
      </c>
      <c r="G145" s="1"/>
    </row>
    <row r="146">
      <c r="B146" s="8">
        <v>300.0</v>
      </c>
      <c r="C146" s="15">
        <v>295.0</v>
      </c>
      <c r="D146" s="33">
        <f t="shared" si="2"/>
        <v>59</v>
      </c>
      <c r="G146" s="1"/>
    </row>
    <row r="147">
      <c r="B147" s="8">
        <v>300.0</v>
      </c>
      <c r="C147" s="15">
        <v>300.0</v>
      </c>
      <c r="D147" s="33" t="str">
        <f t="shared" si="2"/>
        <v>#DIV/0!</v>
      </c>
      <c r="G147" s="1"/>
    </row>
    <row r="148">
      <c r="B148" s="8">
        <v>300.0</v>
      </c>
      <c r="C148" s="15">
        <v>305.0</v>
      </c>
      <c r="D148" s="33">
        <f t="shared" si="2"/>
        <v>-61</v>
      </c>
      <c r="G148" s="1"/>
    </row>
    <row r="149">
      <c r="B149" s="8">
        <v>300.0</v>
      </c>
      <c r="C149" s="15">
        <v>310.0</v>
      </c>
      <c r="D149" s="33">
        <f t="shared" si="2"/>
        <v>-31</v>
      </c>
      <c r="G149" s="1"/>
    </row>
    <row r="150">
      <c r="B150" s="8">
        <v>300.0</v>
      </c>
      <c r="C150" s="15">
        <v>315.0</v>
      </c>
      <c r="D150" s="33">
        <f t="shared" si="2"/>
        <v>-21</v>
      </c>
      <c r="G150" s="1"/>
    </row>
    <row r="151">
      <c r="B151" s="8">
        <v>300.0</v>
      </c>
      <c r="C151" s="15">
        <v>320.0</v>
      </c>
      <c r="D151" s="33">
        <f t="shared" si="2"/>
        <v>-16</v>
      </c>
      <c r="G151" s="1"/>
    </row>
    <row r="152">
      <c r="B152" s="8">
        <v>300.0</v>
      </c>
      <c r="C152" s="15">
        <v>325.0</v>
      </c>
      <c r="D152" s="33">
        <f t="shared" si="2"/>
        <v>-13</v>
      </c>
      <c r="G152" s="1"/>
    </row>
    <row r="153">
      <c r="B153" s="8">
        <v>300.0</v>
      </c>
      <c r="C153" s="15">
        <v>330.0</v>
      </c>
      <c r="D153" s="33">
        <f t="shared" si="2"/>
        <v>-11</v>
      </c>
      <c r="G153" s="1"/>
    </row>
    <row r="154">
      <c r="B154" s="8">
        <v>300.0</v>
      </c>
      <c r="C154" s="15">
        <v>335.0</v>
      </c>
      <c r="D154" s="33">
        <f t="shared" si="2"/>
        <v>-9.571428571</v>
      </c>
      <c r="G154" s="1"/>
    </row>
    <row r="155">
      <c r="B155" s="8">
        <v>300.0</v>
      </c>
      <c r="C155" s="15">
        <v>340.0</v>
      </c>
      <c r="D155" s="33">
        <f t="shared" si="2"/>
        <v>-8.5</v>
      </c>
      <c r="G155" s="1"/>
    </row>
    <row r="156">
      <c r="B156" s="8">
        <v>300.0</v>
      </c>
      <c r="C156" s="15">
        <v>345.0</v>
      </c>
      <c r="D156" s="33">
        <f t="shared" si="2"/>
        <v>-7.666666667</v>
      </c>
      <c r="G156" s="1"/>
    </row>
    <row r="157">
      <c r="B157" s="8">
        <v>300.0</v>
      </c>
      <c r="C157" s="15">
        <v>350.0</v>
      </c>
      <c r="D157" s="33">
        <f t="shared" si="2"/>
        <v>-7</v>
      </c>
      <c r="G157" s="1"/>
    </row>
    <row r="158">
      <c r="B158" s="8">
        <v>300.0</v>
      </c>
      <c r="C158" s="15">
        <v>355.0</v>
      </c>
      <c r="D158" s="33">
        <f t="shared" si="2"/>
        <v>-6.454545455</v>
      </c>
      <c r="G158" s="1"/>
    </row>
    <row r="159">
      <c r="B159" s="8">
        <v>300.0</v>
      </c>
      <c r="C159" s="15">
        <v>360.0</v>
      </c>
      <c r="D159" s="33">
        <f t="shared" si="2"/>
        <v>-6</v>
      </c>
      <c r="G159" s="1"/>
    </row>
    <row r="160">
      <c r="B160" s="8">
        <v>300.0</v>
      </c>
      <c r="C160" s="15">
        <v>365.0</v>
      </c>
      <c r="D160" s="33">
        <f t="shared" si="2"/>
        <v>-5.615384615</v>
      </c>
      <c r="G160" s="1"/>
    </row>
    <row r="161">
      <c r="B161" s="8">
        <v>300.0</v>
      </c>
      <c r="C161" s="15">
        <v>370.0</v>
      </c>
      <c r="D161" s="33">
        <f t="shared" si="2"/>
        <v>-5.285714286</v>
      </c>
      <c r="G161" s="1"/>
    </row>
    <row r="162">
      <c r="B162" s="8">
        <v>300.0</v>
      </c>
      <c r="C162" s="15">
        <v>375.0</v>
      </c>
      <c r="D162" s="33">
        <f t="shared" si="2"/>
        <v>-5</v>
      </c>
      <c r="G162" s="1"/>
    </row>
    <row r="163">
      <c r="B163" s="8">
        <v>300.0</v>
      </c>
      <c r="C163" s="15">
        <v>380.0</v>
      </c>
      <c r="D163" s="33">
        <f t="shared" si="2"/>
        <v>-4.75</v>
      </c>
      <c r="G163" s="1"/>
    </row>
    <row r="164">
      <c r="B164" s="8">
        <v>300.0</v>
      </c>
      <c r="C164" s="15">
        <v>385.0</v>
      </c>
      <c r="D164" s="33">
        <f t="shared" si="2"/>
        <v>-4.529411765</v>
      </c>
      <c r="G164" s="1"/>
    </row>
    <row r="165">
      <c r="B165" s="8">
        <v>300.0</v>
      </c>
      <c r="C165" s="15">
        <v>390.0</v>
      </c>
      <c r="D165" s="33">
        <f t="shared" si="2"/>
        <v>-4.333333333</v>
      </c>
      <c r="G165" s="1"/>
    </row>
    <row r="166">
      <c r="B166" s="8">
        <v>300.0</v>
      </c>
      <c r="C166" s="15">
        <v>395.0</v>
      </c>
      <c r="D166" s="33">
        <f t="shared" si="2"/>
        <v>-4.157894737</v>
      </c>
      <c r="G166" s="1"/>
    </row>
    <row r="167">
      <c r="B167" s="8">
        <v>300.0</v>
      </c>
      <c r="C167" s="15">
        <v>400.0</v>
      </c>
      <c r="D167" s="33">
        <f t="shared" si="2"/>
        <v>-4</v>
      </c>
      <c r="G167" s="1"/>
    </row>
    <row r="168">
      <c r="B168" s="8">
        <v>300.0</v>
      </c>
      <c r="C168" s="15">
        <v>405.0</v>
      </c>
      <c r="D168" s="33">
        <f t="shared" si="2"/>
        <v>-3.857142857</v>
      </c>
      <c r="G168" s="1"/>
    </row>
    <row r="169">
      <c r="B169" s="8">
        <v>300.0</v>
      </c>
      <c r="C169" s="15">
        <v>410.0</v>
      </c>
      <c r="D169" s="33">
        <f t="shared" si="2"/>
        <v>-3.727272727</v>
      </c>
      <c r="G169" s="1"/>
    </row>
    <row r="170">
      <c r="B170" s="8">
        <v>300.0</v>
      </c>
      <c r="C170" s="15">
        <v>415.0</v>
      </c>
      <c r="D170" s="33">
        <f t="shared" si="2"/>
        <v>-3.608695652</v>
      </c>
      <c r="G170" s="1"/>
    </row>
    <row r="171">
      <c r="B171" s="8">
        <v>300.0</v>
      </c>
      <c r="C171" s="15">
        <v>420.0</v>
      </c>
      <c r="D171" s="33">
        <f t="shared" si="2"/>
        <v>-3.5</v>
      </c>
      <c r="G171" s="1"/>
    </row>
    <row r="172">
      <c r="B172" s="8">
        <v>300.0</v>
      </c>
      <c r="C172" s="15">
        <v>425.0</v>
      </c>
      <c r="D172" s="33">
        <f t="shared" si="2"/>
        <v>-3.4</v>
      </c>
      <c r="G172" s="1"/>
    </row>
    <row r="173">
      <c r="B173" s="8">
        <v>300.0</v>
      </c>
      <c r="C173" s="15">
        <v>430.0</v>
      </c>
      <c r="D173" s="33">
        <f t="shared" si="2"/>
        <v>-3.307692308</v>
      </c>
      <c r="G173" s="1"/>
    </row>
    <row r="174">
      <c r="B174" s="8">
        <v>300.0</v>
      </c>
      <c r="C174" s="15">
        <v>435.0</v>
      </c>
      <c r="D174" s="33">
        <f t="shared" si="2"/>
        <v>-3.222222222</v>
      </c>
      <c r="G174" s="1"/>
    </row>
    <row r="175">
      <c r="B175" s="8">
        <v>300.0</v>
      </c>
      <c r="C175" s="15">
        <v>440.0</v>
      </c>
      <c r="D175" s="33">
        <f t="shared" si="2"/>
        <v>-3.142857143</v>
      </c>
      <c r="G175" s="1"/>
    </row>
    <row r="176">
      <c r="B176" s="8">
        <v>300.0</v>
      </c>
      <c r="C176" s="15">
        <v>445.0</v>
      </c>
      <c r="D176" s="33">
        <f t="shared" si="2"/>
        <v>-3.068965517</v>
      </c>
      <c r="G176" s="1"/>
    </row>
    <row r="177">
      <c r="B177" s="8">
        <v>300.0</v>
      </c>
      <c r="C177" s="15">
        <v>450.0</v>
      </c>
      <c r="D177" s="33">
        <f t="shared" si="2"/>
        <v>-3</v>
      </c>
      <c r="G177" s="1"/>
    </row>
    <row r="178">
      <c r="B178" s="8">
        <v>300.0</v>
      </c>
      <c r="C178" s="15">
        <v>455.0</v>
      </c>
      <c r="D178" s="33">
        <f t="shared" si="2"/>
        <v>-2.935483871</v>
      </c>
      <c r="G178" s="1"/>
    </row>
    <row r="179">
      <c r="B179" s="8">
        <v>300.0</v>
      </c>
      <c r="C179" s="15">
        <v>460.0</v>
      </c>
      <c r="D179" s="33">
        <f t="shared" si="2"/>
        <v>-2.875</v>
      </c>
      <c r="G179" s="1"/>
    </row>
    <row r="180">
      <c r="B180" s="8">
        <v>300.0</v>
      </c>
      <c r="C180" s="15">
        <v>465.0</v>
      </c>
      <c r="D180" s="33">
        <f t="shared" si="2"/>
        <v>-2.818181818</v>
      </c>
      <c r="G180" s="1"/>
    </row>
    <row r="181">
      <c r="B181" s="8">
        <v>300.0</v>
      </c>
      <c r="C181" s="15">
        <v>470.0</v>
      </c>
      <c r="D181" s="33">
        <f t="shared" si="2"/>
        <v>-2.764705882</v>
      </c>
      <c r="G181" s="1"/>
    </row>
    <row r="182">
      <c r="B182" s="8">
        <v>300.0</v>
      </c>
      <c r="C182" s="15">
        <v>475.0</v>
      </c>
      <c r="D182" s="33">
        <f t="shared" si="2"/>
        <v>-2.714285714</v>
      </c>
      <c r="G182" s="1"/>
    </row>
    <row r="183">
      <c r="B183" s="8">
        <v>300.0</v>
      </c>
      <c r="C183" s="15">
        <v>480.0</v>
      </c>
      <c r="D183" s="33">
        <f t="shared" si="2"/>
        <v>-2.666666667</v>
      </c>
      <c r="G183" s="1"/>
    </row>
    <row r="184">
      <c r="B184" s="8">
        <v>300.0</v>
      </c>
      <c r="C184" s="15">
        <v>485.0</v>
      </c>
      <c r="D184" s="33">
        <f t="shared" si="2"/>
        <v>-2.621621622</v>
      </c>
      <c r="G184" s="1"/>
    </row>
    <row r="185">
      <c r="B185" s="8">
        <v>300.0</v>
      </c>
      <c r="C185" s="15">
        <v>490.0</v>
      </c>
      <c r="D185" s="33">
        <f t="shared" si="2"/>
        <v>-2.578947368</v>
      </c>
      <c r="G185" s="1"/>
    </row>
    <row r="186">
      <c r="B186" s="8">
        <v>300.0</v>
      </c>
      <c r="C186" s="15">
        <v>495.0</v>
      </c>
      <c r="D186" s="33">
        <f t="shared" si="2"/>
        <v>-2.538461538</v>
      </c>
      <c r="G186" s="1"/>
    </row>
    <row r="187">
      <c r="B187" s="8">
        <v>300.0</v>
      </c>
      <c r="C187" s="15">
        <v>500.0</v>
      </c>
      <c r="D187" s="33">
        <f t="shared" si="2"/>
        <v>-2.5</v>
      </c>
      <c r="G187" s="1"/>
    </row>
    <row r="188">
      <c r="C188" s="15"/>
      <c r="G188" s="1"/>
    </row>
    <row r="189">
      <c r="G189" s="1"/>
    </row>
    <row r="190">
      <c r="G190" s="1"/>
    </row>
    <row r="191">
      <c r="G191" s="1"/>
    </row>
    <row r="192">
      <c r="G192" s="1"/>
    </row>
    <row r="193">
      <c r="G193" s="1"/>
    </row>
    <row r="194">
      <c r="G194" s="1"/>
    </row>
    <row r="195">
      <c r="G195" s="1"/>
    </row>
    <row r="196">
      <c r="G196" s="1"/>
    </row>
    <row r="197">
      <c r="G197" s="1"/>
    </row>
    <row r="198">
      <c r="G198" s="1"/>
    </row>
    <row r="199">
      <c r="G199" s="1"/>
    </row>
    <row r="200">
      <c r="G200" s="1"/>
    </row>
    <row r="201">
      <c r="G201" s="1"/>
    </row>
    <row r="202">
      <c r="G202" s="1"/>
    </row>
    <row r="203">
      <c r="G203" s="1"/>
    </row>
    <row r="204">
      <c r="G204" s="1"/>
    </row>
    <row r="205">
      <c r="G205" s="1"/>
    </row>
    <row r="206">
      <c r="G206" s="1"/>
    </row>
    <row r="207">
      <c r="G207" s="1"/>
    </row>
    <row r="208">
      <c r="G208" s="1"/>
    </row>
    <row r="209">
      <c r="G209" s="1"/>
    </row>
    <row r="210">
      <c r="G210" s="1"/>
    </row>
    <row r="211">
      <c r="G211" s="1"/>
    </row>
    <row r="212">
      <c r="G212" s="1"/>
    </row>
    <row r="213">
      <c r="G213" s="1"/>
    </row>
    <row r="214">
      <c r="G214" s="1"/>
    </row>
    <row r="215">
      <c r="G215" s="1"/>
    </row>
    <row r="216">
      <c r="G216" s="1"/>
    </row>
    <row r="217">
      <c r="G217" s="1"/>
    </row>
    <row r="218">
      <c r="G218" s="1"/>
    </row>
    <row r="219">
      <c r="G219" s="1"/>
    </row>
    <row r="220">
      <c r="G220" s="1"/>
    </row>
    <row r="221">
      <c r="G221" s="1"/>
    </row>
    <row r="222">
      <c r="G222" s="1"/>
    </row>
    <row r="223">
      <c r="G223" s="1"/>
    </row>
    <row r="224">
      <c r="G224" s="1"/>
    </row>
    <row r="225">
      <c r="G225" s="1"/>
    </row>
    <row r="226">
      <c r="G226" s="1"/>
    </row>
    <row r="227">
      <c r="G227" s="1"/>
    </row>
    <row r="228">
      <c r="G228" s="1"/>
    </row>
    <row r="229">
      <c r="G229" s="1"/>
    </row>
    <row r="230">
      <c r="G230" s="1"/>
    </row>
    <row r="231">
      <c r="G231" s="1"/>
    </row>
    <row r="232">
      <c r="G232" s="1"/>
    </row>
    <row r="233">
      <c r="G233" s="1"/>
    </row>
    <row r="234">
      <c r="G234" s="1"/>
    </row>
    <row r="235">
      <c r="G235" s="1"/>
    </row>
    <row r="236">
      <c r="G236" s="1"/>
    </row>
    <row r="237">
      <c r="G237" s="1"/>
    </row>
    <row r="238">
      <c r="G238" s="1"/>
    </row>
    <row r="239">
      <c r="G239" s="1"/>
    </row>
    <row r="240">
      <c r="G240" s="1"/>
    </row>
    <row r="241">
      <c r="G241" s="1"/>
    </row>
    <row r="242">
      <c r="G242" s="1"/>
    </row>
    <row r="243">
      <c r="G243" s="1"/>
    </row>
    <row r="244">
      <c r="G244" s="1"/>
    </row>
    <row r="245">
      <c r="G245" s="1"/>
    </row>
    <row r="246">
      <c r="G246" s="1"/>
    </row>
    <row r="247">
      <c r="G247" s="1"/>
    </row>
    <row r="248">
      <c r="G248" s="1"/>
    </row>
    <row r="249">
      <c r="G249" s="1"/>
    </row>
    <row r="250">
      <c r="G250" s="1"/>
    </row>
    <row r="251">
      <c r="G251" s="1"/>
    </row>
    <row r="252">
      <c r="G252" s="1"/>
    </row>
    <row r="253">
      <c r="G253" s="1"/>
    </row>
    <row r="254">
      <c r="G254" s="1"/>
    </row>
    <row r="255">
      <c r="G255" s="1"/>
    </row>
    <row r="256">
      <c r="G256" s="1"/>
    </row>
    <row r="257">
      <c r="G257" s="1"/>
    </row>
    <row r="258">
      <c r="G258" s="1"/>
    </row>
    <row r="259">
      <c r="G259" s="1"/>
    </row>
    <row r="260">
      <c r="G260" s="1"/>
    </row>
    <row r="261">
      <c r="G261" s="1"/>
    </row>
    <row r="262">
      <c r="G262" s="1"/>
    </row>
    <row r="263">
      <c r="G263" s="1"/>
    </row>
    <row r="264">
      <c r="G264" s="1"/>
    </row>
    <row r="265">
      <c r="G265" s="1"/>
    </row>
    <row r="266">
      <c r="G266" s="1"/>
    </row>
    <row r="267">
      <c r="G267" s="1"/>
    </row>
    <row r="268">
      <c r="G268" s="1"/>
    </row>
    <row r="269">
      <c r="G269" s="1"/>
    </row>
    <row r="270">
      <c r="G270" s="1"/>
    </row>
    <row r="271">
      <c r="G271" s="1"/>
    </row>
    <row r="272">
      <c r="G272" s="1"/>
    </row>
    <row r="273">
      <c r="G273" s="1"/>
    </row>
    <row r="274">
      <c r="G274" s="1"/>
    </row>
    <row r="275">
      <c r="G275" s="1"/>
    </row>
    <row r="276">
      <c r="G276" s="1"/>
    </row>
    <row r="277">
      <c r="G277" s="1"/>
    </row>
    <row r="278">
      <c r="G278" s="1"/>
    </row>
    <row r="279">
      <c r="G279" s="1"/>
    </row>
    <row r="280">
      <c r="G280" s="1"/>
    </row>
    <row r="281">
      <c r="G281" s="1"/>
    </row>
    <row r="282">
      <c r="G282" s="1"/>
    </row>
    <row r="283">
      <c r="G283" s="1"/>
    </row>
    <row r="284">
      <c r="G284" s="1"/>
    </row>
    <row r="285">
      <c r="G285" s="1"/>
    </row>
    <row r="286">
      <c r="G286" s="1"/>
    </row>
    <row r="287">
      <c r="G287" s="1"/>
    </row>
    <row r="288">
      <c r="G288" s="1"/>
    </row>
    <row r="289">
      <c r="G289" s="1"/>
    </row>
    <row r="290">
      <c r="G290" s="1"/>
    </row>
    <row r="291">
      <c r="G291" s="1"/>
    </row>
    <row r="292">
      <c r="G292" s="1"/>
    </row>
    <row r="293">
      <c r="G293" s="1"/>
    </row>
    <row r="294">
      <c r="G294" s="1"/>
    </row>
    <row r="295">
      <c r="G295" s="1"/>
    </row>
    <row r="296">
      <c r="G296" s="1"/>
    </row>
    <row r="297">
      <c r="G297" s="1"/>
    </row>
    <row r="298">
      <c r="G298" s="1"/>
    </row>
    <row r="299">
      <c r="G299" s="1"/>
    </row>
    <row r="300">
      <c r="G300" s="1"/>
    </row>
    <row r="301">
      <c r="G301" s="1"/>
    </row>
    <row r="302">
      <c r="G302" s="1"/>
    </row>
    <row r="303">
      <c r="G303" s="1"/>
    </row>
    <row r="304">
      <c r="G304" s="1"/>
    </row>
    <row r="305">
      <c r="G305" s="1"/>
    </row>
    <row r="306">
      <c r="G306" s="1"/>
    </row>
    <row r="307">
      <c r="G307" s="1"/>
    </row>
    <row r="308">
      <c r="G308" s="1"/>
    </row>
    <row r="309">
      <c r="G309" s="1"/>
    </row>
    <row r="310">
      <c r="G310" s="1"/>
    </row>
    <row r="311">
      <c r="G311" s="1"/>
    </row>
    <row r="312">
      <c r="G312" s="1"/>
    </row>
    <row r="313">
      <c r="G313" s="1"/>
    </row>
    <row r="314">
      <c r="G314" s="1"/>
    </row>
    <row r="315">
      <c r="G315" s="1"/>
    </row>
    <row r="316">
      <c r="G316" s="1"/>
    </row>
    <row r="317">
      <c r="G317" s="1"/>
    </row>
    <row r="318">
      <c r="G318" s="1"/>
    </row>
    <row r="319">
      <c r="G319" s="1"/>
    </row>
    <row r="320">
      <c r="G320" s="1"/>
    </row>
    <row r="321">
      <c r="G321" s="1"/>
    </row>
    <row r="322">
      <c r="G322" s="1"/>
    </row>
    <row r="323">
      <c r="G323" s="1"/>
    </row>
    <row r="324">
      <c r="G324" s="1"/>
    </row>
    <row r="325">
      <c r="G325" s="1"/>
    </row>
    <row r="326">
      <c r="G326" s="1"/>
    </row>
    <row r="327">
      <c r="G327" s="1"/>
    </row>
    <row r="328">
      <c r="G328" s="1"/>
    </row>
    <row r="329">
      <c r="G329" s="1"/>
    </row>
    <row r="330">
      <c r="G330" s="1"/>
    </row>
    <row r="331">
      <c r="G331" s="1"/>
    </row>
    <row r="332">
      <c r="G332" s="1"/>
    </row>
    <row r="333">
      <c r="G333" s="1"/>
    </row>
    <row r="334">
      <c r="G334" s="1"/>
    </row>
    <row r="335">
      <c r="G335" s="1"/>
    </row>
    <row r="336">
      <c r="G336" s="1"/>
    </row>
    <row r="337">
      <c r="G337" s="1"/>
    </row>
    <row r="338">
      <c r="G338" s="1"/>
    </row>
    <row r="339">
      <c r="G339" s="1"/>
    </row>
    <row r="340">
      <c r="G340" s="1"/>
    </row>
    <row r="341">
      <c r="G341" s="1"/>
    </row>
    <row r="342">
      <c r="G342" s="1"/>
    </row>
    <row r="343">
      <c r="G343" s="1"/>
    </row>
    <row r="344">
      <c r="G344" s="1"/>
    </row>
    <row r="345">
      <c r="G345" s="1"/>
    </row>
    <row r="346">
      <c r="G346" s="1"/>
    </row>
    <row r="347">
      <c r="G347" s="1"/>
    </row>
    <row r="348">
      <c r="G348" s="1"/>
    </row>
    <row r="349">
      <c r="G349" s="1"/>
    </row>
    <row r="350">
      <c r="G350" s="1"/>
    </row>
    <row r="351">
      <c r="G351" s="1"/>
    </row>
    <row r="352">
      <c r="G352" s="1"/>
    </row>
    <row r="353">
      <c r="G353" s="1"/>
    </row>
    <row r="354">
      <c r="G354" s="1"/>
    </row>
    <row r="355">
      <c r="G355" s="1"/>
    </row>
    <row r="356">
      <c r="G356" s="1"/>
    </row>
    <row r="357">
      <c r="G357" s="1"/>
    </row>
    <row r="358">
      <c r="G358" s="1"/>
    </row>
    <row r="359">
      <c r="G359" s="1"/>
    </row>
    <row r="360">
      <c r="G360" s="1"/>
    </row>
    <row r="361">
      <c r="G361" s="1"/>
    </row>
    <row r="362">
      <c r="G362" s="1"/>
    </row>
    <row r="363">
      <c r="G363" s="1"/>
    </row>
    <row r="364">
      <c r="G364" s="1"/>
    </row>
    <row r="365">
      <c r="G365" s="1"/>
    </row>
    <row r="366">
      <c r="G366" s="1"/>
    </row>
    <row r="367">
      <c r="G367" s="1"/>
    </row>
    <row r="368">
      <c r="G368" s="1"/>
    </row>
    <row r="369">
      <c r="G369" s="1"/>
    </row>
    <row r="370">
      <c r="G370" s="1"/>
    </row>
    <row r="371">
      <c r="G371" s="1"/>
    </row>
    <row r="372">
      <c r="G372" s="1"/>
    </row>
    <row r="373">
      <c r="G373" s="1"/>
    </row>
    <row r="374">
      <c r="G374" s="1"/>
    </row>
    <row r="375">
      <c r="G375" s="1"/>
    </row>
    <row r="376">
      <c r="G376" s="1"/>
    </row>
    <row r="377">
      <c r="G377" s="1"/>
    </row>
    <row r="378">
      <c r="G378" s="1"/>
    </row>
    <row r="379">
      <c r="G379" s="1"/>
    </row>
    <row r="380">
      <c r="G380" s="1"/>
    </row>
    <row r="381">
      <c r="G381" s="1"/>
    </row>
    <row r="382">
      <c r="G382" s="1"/>
    </row>
    <row r="383">
      <c r="G383" s="1"/>
    </row>
    <row r="384">
      <c r="G384" s="1"/>
    </row>
    <row r="385">
      <c r="G385" s="1"/>
    </row>
    <row r="386">
      <c r="G386" s="1"/>
    </row>
    <row r="387">
      <c r="G387" s="1"/>
    </row>
    <row r="388">
      <c r="G388" s="1"/>
    </row>
    <row r="389">
      <c r="G389" s="1"/>
    </row>
    <row r="390">
      <c r="G390" s="1"/>
    </row>
    <row r="391">
      <c r="G391" s="1"/>
    </row>
    <row r="392">
      <c r="G392" s="1"/>
    </row>
    <row r="393">
      <c r="G393" s="1"/>
    </row>
    <row r="394">
      <c r="G394" s="1"/>
    </row>
    <row r="395">
      <c r="G395" s="1"/>
    </row>
    <row r="396">
      <c r="G396" s="1"/>
    </row>
    <row r="397">
      <c r="G397" s="1"/>
    </row>
    <row r="398">
      <c r="G398" s="1"/>
    </row>
    <row r="399">
      <c r="G399" s="1"/>
    </row>
    <row r="400">
      <c r="G400" s="1"/>
    </row>
    <row r="401">
      <c r="G401" s="1"/>
    </row>
    <row r="402">
      <c r="G402" s="1"/>
    </row>
    <row r="403">
      <c r="G403" s="1"/>
    </row>
    <row r="404">
      <c r="G404" s="1"/>
    </row>
    <row r="405">
      <c r="G405" s="1"/>
    </row>
    <row r="406">
      <c r="G406" s="1"/>
    </row>
    <row r="407">
      <c r="G407" s="1"/>
    </row>
    <row r="408">
      <c r="G408" s="1"/>
    </row>
    <row r="409">
      <c r="G409" s="1"/>
    </row>
    <row r="410">
      <c r="G410" s="1"/>
    </row>
    <row r="411">
      <c r="G411" s="1"/>
    </row>
    <row r="412">
      <c r="G412" s="1"/>
    </row>
    <row r="413">
      <c r="G413" s="1"/>
    </row>
    <row r="414">
      <c r="G414" s="1"/>
    </row>
    <row r="415">
      <c r="G415" s="1"/>
    </row>
    <row r="416">
      <c r="G416" s="1"/>
    </row>
    <row r="417">
      <c r="G417" s="1"/>
    </row>
    <row r="418">
      <c r="G418" s="1"/>
    </row>
    <row r="419">
      <c r="G419" s="1"/>
    </row>
    <row r="420">
      <c r="G420" s="1"/>
    </row>
    <row r="421">
      <c r="G421" s="1"/>
    </row>
    <row r="422">
      <c r="G422" s="1"/>
    </row>
    <row r="423">
      <c r="G423" s="1"/>
    </row>
    <row r="424">
      <c r="G424" s="1"/>
    </row>
    <row r="425">
      <c r="G425" s="1"/>
    </row>
    <row r="426">
      <c r="G426" s="1"/>
    </row>
    <row r="427">
      <c r="G427" s="1"/>
    </row>
    <row r="428">
      <c r="G428" s="1"/>
    </row>
    <row r="429">
      <c r="G429" s="1"/>
    </row>
    <row r="430">
      <c r="G430" s="1"/>
    </row>
    <row r="431">
      <c r="G431" s="1"/>
    </row>
    <row r="432">
      <c r="G432" s="1"/>
    </row>
    <row r="433">
      <c r="G433" s="1"/>
    </row>
    <row r="434">
      <c r="G434" s="1"/>
    </row>
    <row r="435">
      <c r="G435" s="1"/>
    </row>
    <row r="436">
      <c r="G436" s="1"/>
    </row>
    <row r="437">
      <c r="G437" s="1"/>
    </row>
    <row r="438">
      <c r="G438" s="1"/>
    </row>
    <row r="439">
      <c r="G439" s="1"/>
    </row>
    <row r="440">
      <c r="G440" s="1"/>
    </row>
    <row r="441">
      <c r="G441" s="1"/>
    </row>
    <row r="442">
      <c r="G442" s="1"/>
    </row>
    <row r="443">
      <c r="G443" s="1"/>
    </row>
    <row r="444">
      <c r="G444" s="1"/>
    </row>
    <row r="445">
      <c r="G445" s="1"/>
    </row>
    <row r="446">
      <c r="G446" s="1"/>
    </row>
    <row r="447">
      <c r="G447" s="1"/>
    </row>
    <row r="448">
      <c r="G448" s="1"/>
    </row>
    <row r="449">
      <c r="G449" s="1"/>
    </row>
    <row r="450">
      <c r="G450" s="1"/>
    </row>
    <row r="451">
      <c r="G451" s="1"/>
    </row>
    <row r="452">
      <c r="G452" s="1"/>
    </row>
    <row r="453">
      <c r="G453" s="1"/>
    </row>
    <row r="454">
      <c r="G454" s="1"/>
    </row>
    <row r="455">
      <c r="G455" s="1"/>
    </row>
    <row r="456">
      <c r="G456" s="1"/>
    </row>
    <row r="457">
      <c r="G457" s="1"/>
    </row>
    <row r="458">
      <c r="G458" s="1"/>
    </row>
    <row r="459">
      <c r="G459" s="1"/>
    </row>
    <row r="460">
      <c r="G460" s="1"/>
    </row>
    <row r="461">
      <c r="G461" s="1"/>
    </row>
    <row r="462">
      <c r="G462" s="1"/>
    </row>
    <row r="463">
      <c r="G463" s="1"/>
    </row>
    <row r="464">
      <c r="G464" s="1"/>
    </row>
    <row r="465">
      <c r="G465" s="1"/>
    </row>
    <row r="466">
      <c r="G466" s="1"/>
    </row>
    <row r="467">
      <c r="G467" s="1"/>
    </row>
    <row r="468">
      <c r="G468" s="1"/>
    </row>
    <row r="469">
      <c r="G469" s="1"/>
    </row>
    <row r="470">
      <c r="G470" s="1"/>
    </row>
    <row r="471">
      <c r="G471" s="1"/>
    </row>
    <row r="472">
      <c r="G472" s="1"/>
    </row>
    <row r="473">
      <c r="G473" s="1"/>
    </row>
    <row r="474">
      <c r="G474" s="1"/>
    </row>
    <row r="475">
      <c r="G475" s="1"/>
    </row>
    <row r="476">
      <c r="G476" s="1"/>
    </row>
    <row r="477">
      <c r="G477" s="1"/>
    </row>
    <row r="478">
      <c r="G478" s="1"/>
    </row>
    <row r="479">
      <c r="G479" s="1"/>
    </row>
    <row r="480">
      <c r="G480" s="1"/>
    </row>
    <row r="481">
      <c r="G481" s="1"/>
    </row>
    <row r="482">
      <c r="G482" s="1"/>
    </row>
    <row r="483">
      <c r="G483" s="1"/>
    </row>
    <row r="484">
      <c r="G484" s="1"/>
    </row>
    <row r="485">
      <c r="G485" s="1"/>
    </row>
    <row r="486">
      <c r="G486" s="1"/>
    </row>
    <row r="487">
      <c r="G487" s="1"/>
    </row>
    <row r="488">
      <c r="G488" s="1"/>
    </row>
    <row r="489">
      <c r="G489" s="1"/>
    </row>
    <row r="490">
      <c r="G490" s="1"/>
    </row>
    <row r="491">
      <c r="G491" s="1"/>
    </row>
    <row r="492">
      <c r="G492" s="1"/>
    </row>
    <row r="493">
      <c r="G493" s="1"/>
    </row>
    <row r="494">
      <c r="G494" s="1"/>
    </row>
    <row r="495">
      <c r="G495" s="1"/>
    </row>
    <row r="496">
      <c r="G496" s="1"/>
    </row>
    <row r="497">
      <c r="G497" s="1"/>
    </row>
    <row r="498">
      <c r="G498" s="1"/>
    </row>
    <row r="499">
      <c r="G499" s="1"/>
    </row>
    <row r="500">
      <c r="G500" s="1"/>
    </row>
    <row r="501">
      <c r="G501" s="1"/>
    </row>
    <row r="502">
      <c r="G502" s="1"/>
    </row>
    <row r="503">
      <c r="G503" s="1"/>
    </row>
    <row r="504">
      <c r="G504" s="1"/>
    </row>
    <row r="505">
      <c r="G505" s="1"/>
    </row>
    <row r="506">
      <c r="G506" s="1"/>
    </row>
    <row r="507">
      <c r="G507" s="1"/>
    </row>
    <row r="508">
      <c r="G508" s="1"/>
    </row>
    <row r="509">
      <c r="G509" s="1"/>
    </row>
    <row r="510">
      <c r="G510" s="1"/>
    </row>
    <row r="511">
      <c r="G511" s="1"/>
    </row>
    <row r="512">
      <c r="G512" s="1"/>
    </row>
    <row r="513">
      <c r="G513" s="1"/>
    </row>
    <row r="514">
      <c r="G514" s="1"/>
    </row>
    <row r="515">
      <c r="G515" s="1"/>
    </row>
    <row r="516">
      <c r="G516" s="1"/>
    </row>
    <row r="517">
      <c r="G517" s="1"/>
    </row>
    <row r="518">
      <c r="G518" s="1"/>
    </row>
    <row r="519">
      <c r="G519" s="1"/>
    </row>
    <row r="520">
      <c r="G520" s="1"/>
    </row>
    <row r="521">
      <c r="G521" s="1"/>
    </row>
    <row r="522">
      <c r="G522" s="1"/>
    </row>
    <row r="523">
      <c r="G523" s="1"/>
    </row>
    <row r="524">
      <c r="G524" s="1"/>
    </row>
    <row r="525">
      <c r="G525" s="1"/>
    </row>
    <row r="526">
      <c r="G526" s="1"/>
    </row>
    <row r="527">
      <c r="G527" s="1"/>
    </row>
    <row r="528">
      <c r="G528" s="1"/>
    </row>
    <row r="529">
      <c r="G529" s="1"/>
    </row>
    <row r="530">
      <c r="G530" s="1"/>
    </row>
    <row r="531">
      <c r="G531" s="1"/>
    </row>
    <row r="532">
      <c r="G532" s="1"/>
    </row>
    <row r="533">
      <c r="G533" s="1"/>
    </row>
    <row r="534">
      <c r="G534" s="1"/>
    </row>
    <row r="535">
      <c r="G535" s="1"/>
    </row>
    <row r="536">
      <c r="G536" s="1"/>
    </row>
    <row r="537">
      <c r="G537" s="1"/>
    </row>
    <row r="538">
      <c r="G538" s="1"/>
    </row>
    <row r="539">
      <c r="G539" s="1"/>
    </row>
    <row r="540">
      <c r="G540" s="1"/>
    </row>
    <row r="541">
      <c r="G541" s="1"/>
    </row>
    <row r="542">
      <c r="G542" s="1"/>
    </row>
    <row r="543">
      <c r="G543" s="1"/>
    </row>
    <row r="544">
      <c r="G544" s="1"/>
    </row>
    <row r="545">
      <c r="G545" s="1"/>
    </row>
    <row r="546">
      <c r="G546" s="1"/>
    </row>
    <row r="547">
      <c r="G547" s="1"/>
    </row>
    <row r="548">
      <c r="G548" s="1"/>
    </row>
    <row r="549">
      <c r="G549" s="1"/>
    </row>
    <row r="550">
      <c r="G550" s="1"/>
    </row>
    <row r="551">
      <c r="G551" s="1"/>
    </row>
    <row r="552">
      <c r="G552" s="1"/>
    </row>
    <row r="553">
      <c r="G553" s="1"/>
    </row>
    <row r="554">
      <c r="G554" s="1"/>
    </row>
    <row r="555">
      <c r="G555" s="1"/>
    </row>
    <row r="556">
      <c r="G556" s="1"/>
    </row>
    <row r="557">
      <c r="G557" s="1"/>
    </row>
    <row r="558">
      <c r="G558" s="1"/>
    </row>
    <row r="559">
      <c r="G559" s="1"/>
    </row>
    <row r="560">
      <c r="G560" s="1"/>
    </row>
    <row r="561">
      <c r="G561" s="1"/>
    </row>
    <row r="562">
      <c r="G562" s="1"/>
    </row>
    <row r="563">
      <c r="G563" s="1"/>
    </row>
    <row r="564">
      <c r="G564" s="1"/>
    </row>
    <row r="565">
      <c r="G565" s="1"/>
    </row>
    <row r="566">
      <c r="G566" s="1"/>
    </row>
    <row r="567">
      <c r="G567" s="1"/>
    </row>
    <row r="568">
      <c r="G568" s="1"/>
    </row>
    <row r="569">
      <c r="G569" s="1"/>
    </row>
    <row r="570">
      <c r="G570" s="1"/>
    </row>
    <row r="571">
      <c r="G571" s="1"/>
    </row>
    <row r="572">
      <c r="G572" s="1"/>
    </row>
    <row r="573">
      <c r="G573" s="1"/>
    </row>
    <row r="574">
      <c r="G574" s="1"/>
    </row>
    <row r="575">
      <c r="G575" s="1"/>
    </row>
    <row r="576">
      <c r="G576" s="1"/>
    </row>
    <row r="577">
      <c r="G577" s="1"/>
    </row>
    <row r="578">
      <c r="G578" s="1"/>
    </row>
    <row r="579">
      <c r="G579" s="1"/>
    </row>
    <row r="580">
      <c r="G580" s="1"/>
    </row>
    <row r="581">
      <c r="G581" s="1"/>
    </row>
    <row r="582">
      <c r="G582" s="1"/>
    </row>
    <row r="583">
      <c r="G583" s="1"/>
    </row>
    <row r="584">
      <c r="G584" s="1"/>
    </row>
    <row r="585">
      <c r="G585" s="1"/>
    </row>
    <row r="586">
      <c r="G586" s="1"/>
    </row>
    <row r="587">
      <c r="G587" s="1"/>
    </row>
    <row r="588">
      <c r="G588" s="1"/>
    </row>
    <row r="589">
      <c r="G589" s="1"/>
    </row>
    <row r="590">
      <c r="G590" s="1"/>
    </row>
    <row r="591">
      <c r="G591" s="1"/>
    </row>
    <row r="592">
      <c r="G592" s="1"/>
    </row>
    <row r="593">
      <c r="G593" s="1"/>
    </row>
    <row r="594">
      <c r="G594" s="1"/>
    </row>
    <row r="595">
      <c r="G595" s="1"/>
    </row>
    <row r="596">
      <c r="G596" s="1"/>
    </row>
    <row r="597">
      <c r="G597" s="1"/>
    </row>
    <row r="598">
      <c r="G598" s="1"/>
    </row>
    <row r="599">
      <c r="G599" s="1"/>
    </row>
    <row r="600">
      <c r="G600" s="1"/>
    </row>
    <row r="601">
      <c r="G601" s="1"/>
    </row>
    <row r="602">
      <c r="G602" s="1"/>
    </row>
    <row r="603">
      <c r="G603" s="1"/>
    </row>
    <row r="604">
      <c r="G604" s="1"/>
    </row>
    <row r="605">
      <c r="G605" s="1"/>
    </row>
    <row r="606">
      <c r="G606" s="1"/>
    </row>
    <row r="607">
      <c r="G607" s="1"/>
    </row>
    <row r="608">
      <c r="G608" s="1"/>
    </row>
    <row r="609">
      <c r="G609" s="1"/>
    </row>
    <row r="610">
      <c r="G610" s="1"/>
    </row>
    <row r="611">
      <c r="G611" s="1"/>
    </row>
    <row r="612">
      <c r="G612" s="1"/>
    </row>
    <row r="613">
      <c r="G613" s="1"/>
    </row>
    <row r="614">
      <c r="G614" s="1"/>
    </row>
    <row r="615">
      <c r="G615" s="1"/>
    </row>
    <row r="616">
      <c r="G616" s="1"/>
    </row>
    <row r="617">
      <c r="G617" s="1"/>
    </row>
    <row r="618">
      <c r="G618" s="1"/>
    </row>
    <row r="619">
      <c r="G619" s="1"/>
    </row>
    <row r="620">
      <c r="G620" s="1"/>
    </row>
    <row r="621">
      <c r="G621" s="1"/>
    </row>
    <row r="622">
      <c r="G622" s="1"/>
    </row>
    <row r="623">
      <c r="G623" s="1"/>
    </row>
    <row r="624">
      <c r="G624" s="1"/>
    </row>
    <row r="625">
      <c r="G625" s="1"/>
    </row>
    <row r="626">
      <c r="G626" s="1"/>
    </row>
    <row r="627">
      <c r="G627" s="1"/>
    </row>
    <row r="628">
      <c r="G628" s="1"/>
    </row>
    <row r="629">
      <c r="G629" s="1"/>
    </row>
    <row r="630">
      <c r="G630" s="1"/>
    </row>
    <row r="631">
      <c r="G631" s="1"/>
    </row>
    <row r="632">
      <c r="G632" s="1"/>
    </row>
    <row r="633">
      <c r="G633" s="1"/>
    </row>
    <row r="634">
      <c r="G634" s="1"/>
    </row>
    <row r="635">
      <c r="G635" s="1"/>
    </row>
    <row r="636">
      <c r="G636" s="1"/>
    </row>
    <row r="637">
      <c r="G637" s="1"/>
    </row>
    <row r="638">
      <c r="G638" s="1"/>
    </row>
    <row r="639">
      <c r="G639" s="1"/>
    </row>
    <row r="640">
      <c r="G640" s="1"/>
    </row>
    <row r="641">
      <c r="G641" s="1"/>
    </row>
    <row r="642">
      <c r="G642" s="1"/>
    </row>
    <row r="643">
      <c r="G643" s="1"/>
    </row>
    <row r="644">
      <c r="G644" s="1"/>
    </row>
    <row r="645">
      <c r="G645" s="1"/>
    </row>
    <row r="646">
      <c r="G646" s="1"/>
    </row>
    <row r="647">
      <c r="G647" s="1"/>
    </row>
    <row r="648">
      <c r="G648" s="1"/>
    </row>
    <row r="649">
      <c r="G649" s="1"/>
    </row>
    <row r="650">
      <c r="G650" s="1"/>
    </row>
    <row r="651">
      <c r="G651" s="1"/>
    </row>
    <row r="652">
      <c r="G652" s="1"/>
    </row>
    <row r="653">
      <c r="G653" s="1"/>
    </row>
    <row r="654">
      <c r="G654" s="1"/>
    </row>
    <row r="655">
      <c r="G655" s="1"/>
    </row>
    <row r="656">
      <c r="G656" s="1"/>
    </row>
    <row r="657">
      <c r="G657" s="1"/>
    </row>
    <row r="658">
      <c r="G658" s="1"/>
    </row>
    <row r="659">
      <c r="G659" s="1"/>
    </row>
    <row r="660">
      <c r="G660" s="1"/>
    </row>
    <row r="661">
      <c r="G661" s="1"/>
    </row>
    <row r="662">
      <c r="G662" s="1"/>
    </row>
    <row r="663">
      <c r="G663" s="1"/>
    </row>
    <row r="664">
      <c r="G664" s="1"/>
    </row>
    <row r="665">
      <c r="G665" s="1"/>
    </row>
    <row r="666">
      <c r="G666" s="1"/>
    </row>
    <row r="667">
      <c r="G667" s="1"/>
    </row>
    <row r="668">
      <c r="G668" s="1"/>
    </row>
    <row r="669">
      <c r="G669" s="1"/>
    </row>
    <row r="670">
      <c r="G670" s="1"/>
    </row>
    <row r="671">
      <c r="G671" s="1"/>
    </row>
    <row r="672">
      <c r="G672" s="1"/>
    </row>
    <row r="673">
      <c r="G673" s="1"/>
    </row>
    <row r="674">
      <c r="G674" s="1"/>
    </row>
    <row r="675">
      <c r="G675" s="1"/>
    </row>
    <row r="676">
      <c r="G676" s="1"/>
    </row>
    <row r="677">
      <c r="G677" s="1"/>
    </row>
    <row r="678">
      <c r="G678" s="1"/>
    </row>
    <row r="679">
      <c r="G679" s="1"/>
    </row>
    <row r="680">
      <c r="G680" s="1"/>
    </row>
    <row r="681">
      <c r="G681" s="1"/>
    </row>
    <row r="682">
      <c r="G682" s="1"/>
    </row>
    <row r="683">
      <c r="G683" s="1"/>
    </row>
    <row r="684">
      <c r="G684" s="1"/>
    </row>
    <row r="685">
      <c r="G685" s="1"/>
    </row>
    <row r="686">
      <c r="G686" s="1"/>
    </row>
    <row r="687">
      <c r="G687" s="1"/>
    </row>
    <row r="688">
      <c r="G688" s="1"/>
    </row>
    <row r="689">
      <c r="G689" s="1"/>
    </row>
    <row r="690">
      <c r="G690" s="1"/>
    </row>
    <row r="691">
      <c r="G691" s="1"/>
    </row>
    <row r="692">
      <c r="G692" s="1"/>
    </row>
    <row r="693">
      <c r="G693" s="1"/>
    </row>
    <row r="694">
      <c r="G694" s="1"/>
    </row>
    <row r="695">
      <c r="G695" s="1"/>
    </row>
    <row r="696">
      <c r="G696" s="1"/>
    </row>
    <row r="697">
      <c r="G697" s="1"/>
    </row>
    <row r="698">
      <c r="G698" s="1"/>
    </row>
    <row r="699">
      <c r="G699" s="1"/>
    </row>
    <row r="700">
      <c r="G700" s="1"/>
    </row>
    <row r="701">
      <c r="G701" s="1"/>
    </row>
    <row r="702">
      <c r="G702" s="1"/>
    </row>
    <row r="703">
      <c r="G703" s="1"/>
    </row>
    <row r="704">
      <c r="G704" s="1"/>
    </row>
    <row r="705">
      <c r="G705" s="1"/>
    </row>
    <row r="706">
      <c r="G706" s="1"/>
    </row>
    <row r="707">
      <c r="G707" s="1"/>
    </row>
    <row r="708">
      <c r="G708" s="1"/>
    </row>
    <row r="709">
      <c r="G709" s="1"/>
    </row>
    <row r="710">
      <c r="G710" s="1"/>
    </row>
    <row r="711">
      <c r="G711" s="1"/>
    </row>
    <row r="712">
      <c r="G712" s="1"/>
    </row>
    <row r="713">
      <c r="G713" s="1"/>
    </row>
    <row r="714">
      <c r="G714" s="1"/>
    </row>
    <row r="715">
      <c r="G715" s="1"/>
    </row>
    <row r="716">
      <c r="G716" s="1"/>
    </row>
    <row r="717">
      <c r="G717" s="1"/>
    </row>
    <row r="718">
      <c r="G718" s="1"/>
    </row>
    <row r="719">
      <c r="G719" s="1"/>
    </row>
    <row r="720">
      <c r="G720" s="1"/>
    </row>
    <row r="721">
      <c r="G721" s="1"/>
    </row>
    <row r="722">
      <c r="G722" s="1"/>
    </row>
    <row r="723">
      <c r="G723" s="1"/>
    </row>
    <row r="724">
      <c r="G724" s="1"/>
    </row>
    <row r="725">
      <c r="G725" s="1"/>
    </row>
    <row r="726">
      <c r="G726" s="1"/>
    </row>
    <row r="727">
      <c r="G727" s="1"/>
    </row>
    <row r="728">
      <c r="G728" s="1"/>
    </row>
    <row r="729">
      <c r="G729" s="1"/>
    </row>
    <row r="730">
      <c r="G730" s="1"/>
    </row>
    <row r="731">
      <c r="G731" s="1"/>
    </row>
    <row r="732">
      <c r="G732" s="1"/>
    </row>
    <row r="733">
      <c r="G733" s="1"/>
    </row>
    <row r="734">
      <c r="G734" s="1"/>
    </row>
    <row r="735">
      <c r="G735" s="1"/>
    </row>
    <row r="736">
      <c r="G736" s="1"/>
    </row>
    <row r="737">
      <c r="G737" s="1"/>
    </row>
    <row r="738">
      <c r="G738" s="1"/>
    </row>
    <row r="739">
      <c r="G739" s="1"/>
    </row>
    <row r="740">
      <c r="G740" s="1"/>
    </row>
    <row r="741">
      <c r="G741" s="1"/>
    </row>
    <row r="742">
      <c r="G742" s="1"/>
    </row>
    <row r="743">
      <c r="G743" s="1"/>
    </row>
    <row r="744">
      <c r="G744" s="1"/>
    </row>
    <row r="745">
      <c r="G745" s="1"/>
    </row>
    <row r="746">
      <c r="G746" s="1"/>
    </row>
    <row r="747">
      <c r="G747" s="1"/>
    </row>
    <row r="748">
      <c r="G748" s="1"/>
    </row>
    <row r="749">
      <c r="G749" s="1"/>
    </row>
    <row r="750">
      <c r="G750" s="1"/>
    </row>
    <row r="751">
      <c r="G751" s="1"/>
    </row>
    <row r="752">
      <c r="G752" s="1"/>
    </row>
    <row r="753">
      <c r="G753" s="1"/>
    </row>
    <row r="754">
      <c r="G754" s="1"/>
    </row>
    <row r="755">
      <c r="G755" s="1"/>
    </row>
    <row r="756">
      <c r="G756" s="1"/>
    </row>
    <row r="757">
      <c r="G757" s="1"/>
    </row>
    <row r="758">
      <c r="G758" s="1"/>
    </row>
    <row r="759">
      <c r="G759" s="1"/>
    </row>
    <row r="760">
      <c r="G760" s="1"/>
    </row>
    <row r="761">
      <c r="G761" s="1"/>
    </row>
    <row r="762">
      <c r="G762" s="1"/>
    </row>
    <row r="763">
      <c r="G763" s="1"/>
    </row>
    <row r="764">
      <c r="G764" s="1"/>
    </row>
    <row r="765">
      <c r="G765" s="1"/>
    </row>
    <row r="766">
      <c r="G766" s="1"/>
    </row>
    <row r="767">
      <c r="G767" s="1"/>
    </row>
    <row r="768">
      <c r="G768" s="1"/>
    </row>
    <row r="769">
      <c r="G769" s="1"/>
    </row>
    <row r="770">
      <c r="G770" s="1"/>
    </row>
    <row r="771">
      <c r="G771" s="1"/>
    </row>
    <row r="772">
      <c r="G772" s="1"/>
    </row>
    <row r="773">
      <c r="G773" s="1"/>
    </row>
    <row r="774">
      <c r="G774" s="1"/>
    </row>
    <row r="775">
      <c r="G775" s="1"/>
    </row>
    <row r="776">
      <c r="G776" s="1"/>
    </row>
    <row r="777">
      <c r="G777" s="1"/>
    </row>
    <row r="778">
      <c r="G778" s="1"/>
    </row>
    <row r="779">
      <c r="G779" s="1"/>
    </row>
    <row r="780">
      <c r="G780" s="1"/>
    </row>
    <row r="781">
      <c r="G781" s="1"/>
    </row>
    <row r="782">
      <c r="G782" s="1"/>
    </row>
    <row r="783">
      <c r="G783" s="1"/>
    </row>
    <row r="784">
      <c r="G784" s="1"/>
    </row>
    <row r="785">
      <c r="G785" s="1"/>
    </row>
    <row r="786">
      <c r="G786" s="1"/>
    </row>
    <row r="787">
      <c r="G787" s="1"/>
    </row>
    <row r="788">
      <c r="G788" s="1"/>
    </row>
    <row r="789">
      <c r="G789" s="1"/>
    </row>
    <row r="790">
      <c r="G790" s="1"/>
    </row>
    <row r="791">
      <c r="G791" s="1"/>
    </row>
    <row r="792">
      <c r="G792" s="1"/>
    </row>
    <row r="793">
      <c r="G793" s="1"/>
    </row>
    <row r="794">
      <c r="G794" s="1"/>
    </row>
    <row r="795">
      <c r="G795" s="1"/>
    </row>
    <row r="796">
      <c r="G796" s="1"/>
    </row>
    <row r="797">
      <c r="G797" s="1"/>
    </row>
    <row r="798">
      <c r="G798" s="1"/>
    </row>
    <row r="799">
      <c r="G799" s="1"/>
    </row>
    <row r="800">
      <c r="G800" s="1"/>
    </row>
    <row r="801">
      <c r="G801" s="1"/>
    </row>
    <row r="802">
      <c r="G802" s="1"/>
    </row>
    <row r="803">
      <c r="G803" s="1"/>
    </row>
    <row r="804">
      <c r="G804" s="1"/>
    </row>
    <row r="805">
      <c r="G805" s="1"/>
    </row>
    <row r="806">
      <c r="G806" s="1"/>
    </row>
    <row r="807">
      <c r="G807" s="1"/>
    </row>
    <row r="808">
      <c r="G808" s="1"/>
    </row>
    <row r="809">
      <c r="G809" s="1"/>
    </row>
    <row r="810">
      <c r="G810" s="1"/>
    </row>
    <row r="811">
      <c r="G811" s="1"/>
    </row>
    <row r="812">
      <c r="G812" s="1"/>
    </row>
    <row r="813">
      <c r="G813" s="1"/>
    </row>
    <row r="814">
      <c r="G814" s="1"/>
    </row>
    <row r="815">
      <c r="G815" s="1"/>
    </row>
    <row r="816">
      <c r="G816" s="1"/>
    </row>
    <row r="817">
      <c r="G817" s="1"/>
    </row>
    <row r="818">
      <c r="G818" s="1"/>
    </row>
    <row r="819">
      <c r="G819" s="1"/>
    </row>
    <row r="820">
      <c r="G820" s="1"/>
    </row>
    <row r="821">
      <c r="G821" s="1"/>
    </row>
    <row r="822">
      <c r="G822" s="1"/>
    </row>
    <row r="823">
      <c r="G823" s="1"/>
    </row>
    <row r="824">
      <c r="G824" s="1"/>
    </row>
    <row r="825">
      <c r="G825" s="1"/>
    </row>
    <row r="826">
      <c r="G826" s="1"/>
    </row>
    <row r="827">
      <c r="G827" s="1"/>
    </row>
    <row r="828">
      <c r="G828" s="1"/>
    </row>
    <row r="829">
      <c r="G829" s="1"/>
    </row>
    <row r="830">
      <c r="G830" s="1"/>
    </row>
    <row r="831">
      <c r="G831" s="1"/>
    </row>
    <row r="832">
      <c r="G832" s="1"/>
    </row>
    <row r="833">
      <c r="G833" s="1"/>
    </row>
    <row r="834">
      <c r="G834" s="1"/>
    </row>
    <row r="835">
      <c r="G835" s="1"/>
    </row>
    <row r="836">
      <c r="G836" s="1"/>
    </row>
    <row r="837">
      <c r="G837" s="1"/>
    </row>
    <row r="838">
      <c r="G838" s="1"/>
    </row>
    <row r="839">
      <c r="G839" s="1"/>
    </row>
    <row r="840">
      <c r="G840" s="1"/>
    </row>
    <row r="841">
      <c r="G841" s="1"/>
    </row>
    <row r="842">
      <c r="G842" s="1"/>
    </row>
    <row r="843">
      <c r="G843" s="1"/>
    </row>
    <row r="844">
      <c r="G844" s="1"/>
    </row>
    <row r="845">
      <c r="G845" s="1"/>
    </row>
    <row r="846">
      <c r="G846" s="1"/>
    </row>
    <row r="847">
      <c r="G847" s="1"/>
    </row>
    <row r="848">
      <c r="G848" s="1"/>
    </row>
    <row r="849">
      <c r="G849" s="1"/>
    </row>
    <row r="850">
      <c r="G850" s="1"/>
    </row>
    <row r="851">
      <c r="G851" s="1"/>
    </row>
    <row r="852">
      <c r="G852" s="1"/>
    </row>
    <row r="853">
      <c r="G853" s="1"/>
    </row>
    <row r="854">
      <c r="G854" s="1"/>
    </row>
    <row r="855">
      <c r="G855" s="1"/>
    </row>
    <row r="856">
      <c r="G856" s="1"/>
    </row>
    <row r="857">
      <c r="G857" s="1"/>
    </row>
    <row r="858">
      <c r="G858" s="1"/>
    </row>
    <row r="859">
      <c r="G859" s="1"/>
    </row>
    <row r="860">
      <c r="G860" s="1"/>
    </row>
    <row r="861">
      <c r="G861" s="1"/>
    </row>
    <row r="862">
      <c r="G862" s="1"/>
    </row>
    <row r="863">
      <c r="G863" s="1"/>
    </row>
    <row r="864">
      <c r="G864" s="1"/>
    </row>
    <row r="865">
      <c r="G865" s="1"/>
    </row>
    <row r="866">
      <c r="G866" s="1"/>
    </row>
    <row r="867">
      <c r="G867" s="1"/>
    </row>
    <row r="868">
      <c r="G868" s="1"/>
    </row>
    <row r="869">
      <c r="G869" s="1"/>
    </row>
    <row r="870">
      <c r="G870" s="1"/>
    </row>
    <row r="871">
      <c r="G871" s="1"/>
    </row>
    <row r="872">
      <c r="G872" s="1"/>
    </row>
    <row r="873">
      <c r="G873" s="1"/>
    </row>
    <row r="874">
      <c r="G874" s="1"/>
    </row>
    <row r="875">
      <c r="G875" s="1"/>
    </row>
    <row r="876">
      <c r="G876" s="1"/>
    </row>
    <row r="877">
      <c r="G877" s="1"/>
    </row>
    <row r="878">
      <c r="G878" s="1"/>
    </row>
    <row r="879">
      <c r="G879" s="1"/>
    </row>
    <row r="880">
      <c r="G880" s="1"/>
    </row>
    <row r="881">
      <c r="G881" s="1"/>
    </row>
    <row r="882">
      <c r="G882" s="1"/>
    </row>
    <row r="883">
      <c r="G883" s="1"/>
    </row>
    <row r="884">
      <c r="G884" s="1"/>
    </row>
    <row r="885">
      <c r="G885" s="1"/>
    </row>
    <row r="886">
      <c r="G886" s="1"/>
    </row>
    <row r="887">
      <c r="G887" s="1"/>
    </row>
    <row r="888">
      <c r="G888" s="1"/>
    </row>
    <row r="889">
      <c r="G889" s="1"/>
    </row>
    <row r="890">
      <c r="G890" s="1"/>
    </row>
    <row r="891">
      <c r="G891" s="1"/>
    </row>
    <row r="892">
      <c r="G892" s="1"/>
    </row>
    <row r="893">
      <c r="G893" s="1"/>
    </row>
    <row r="894">
      <c r="G894" s="1"/>
    </row>
    <row r="895">
      <c r="G895" s="1"/>
    </row>
    <row r="896">
      <c r="G896" s="1"/>
    </row>
    <row r="897">
      <c r="G897" s="1"/>
    </row>
    <row r="898">
      <c r="G898" s="1"/>
    </row>
    <row r="899">
      <c r="G899" s="1"/>
    </row>
    <row r="900">
      <c r="G900" s="1"/>
    </row>
    <row r="901">
      <c r="G901" s="1"/>
    </row>
    <row r="902">
      <c r="G902" s="1"/>
    </row>
    <row r="903">
      <c r="G903" s="1"/>
    </row>
    <row r="904">
      <c r="G904" s="1"/>
    </row>
    <row r="905">
      <c r="G905" s="1"/>
    </row>
    <row r="906">
      <c r="G906" s="1"/>
    </row>
    <row r="907">
      <c r="G907" s="1"/>
    </row>
    <row r="908">
      <c r="G908" s="1"/>
    </row>
    <row r="909">
      <c r="G909" s="1"/>
    </row>
    <row r="910">
      <c r="G910" s="1"/>
    </row>
    <row r="911">
      <c r="G911" s="1"/>
    </row>
    <row r="912">
      <c r="G912" s="1"/>
    </row>
    <row r="913">
      <c r="G913" s="1"/>
    </row>
    <row r="914">
      <c r="G914" s="1"/>
    </row>
    <row r="915">
      <c r="G915" s="1"/>
    </row>
    <row r="916">
      <c r="G916" s="1"/>
    </row>
    <row r="917">
      <c r="G917" s="1"/>
    </row>
    <row r="918">
      <c r="G918" s="1"/>
    </row>
    <row r="919">
      <c r="G919" s="1"/>
    </row>
    <row r="920">
      <c r="G920" s="1"/>
    </row>
    <row r="921">
      <c r="G921" s="1"/>
    </row>
    <row r="922">
      <c r="G922" s="1"/>
    </row>
    <row r="923">
      <c r="G923" s="1"/>
    </row>
    <row r="924">
      <c r="G924" s="1"/>
    </row>
    <row r="925">
      <c r="G925" s="1"/>
    </row>
    <row r="926">
      <c r="G926" s="1"/>
    </row>
    <row r="927">
      <c r="G927" s="1"/>
    </row>
    <row r="928">
      <c r="G928" s="1"/>
    </row>
    <row r="929">
      <c r="G929" s="1"/>
    </row>
    <row r="930">
      <c r="G930" s="1"/>
    </row>
    <row r="931">
      <c r="G931" s="1"/>
    </row>
    <row r="932">
      <c r="G932" s="1"/>
    </row>
    <row r="933">
      <c r="G933" s="1"/>
    </row>
    <row r="934">
      <c r="G934" s="1"/>
    </row>
    <row r="935">
      <c r="G935" s="1"/>
    </row>
    <row r="936">
      <c r="G936" s="1"/>
    </row>
    <row r="937">
      <c r="G937" s="1"/>
    </row>
    <row r="938">
      <c r="G938" s="1"/>
    </row>
    <row r="939">
      <c r="G939" s="1"/>
    </row>
    <row r="940">
      <c r="G940" s="1"/>
    </row>
    <row r="941">
      <c r="G941" s="1"/>
    </row>
    <row r="942">
      <c r="G942" s="1"/>
    </row>
    <row r="943">
      <c r="G943" s="1"/>
    </row>
    <row r="944">
      <c r="G944" s="1"/>
    </row>
    <row r="945">
      <c r="G945" s="1"/>
    </row>
    <row r="946">
      <c r="G946" s="1"/>
    </row>
    <row r="947">
      <c r="G947" s="1"/>
    </row>
    <row r="948">
      <c r="G948" s="1"/>
    </row>
    <row r="949">
      <c r="G949" s="1"/>
    </row>
    <row r="950">
      <c r="G950" s="1"/>
    </row>
    <row r="951">
      <c r="G951" s="1"/>
    </row>
    <row r="952">
      <c r="G952" s="1"/>
    </row>
    <row r="953">
      <c r="G953" s="1"/>
    </row>
    <row r="954">
      <c r="G954" s="1"/>
    </row>
    <row r="955">
      <c r="G955" s="1"/>
    </row>
    <row r="956">
      <c r="G956" s="1"/>
    </row>
    <row r="957">
      <c r="G957" s="1"/>
    </row>
    <row r="958">
      <c r="G958" s="1"/>
    </row>
    <row r="959">
      <c r="G959" s="1"/>
    </row>
    <row r="960">
      <c r="G960" s="1"/>
    </row>
    <row r="961">
      <c r="G961" s="1"/>
    </row>
    <row r="962">
      <c r="G962" s="1"/>
    </row>
    <row r="963">
      <c r="G963" s="1"/>
    </row>
    <row r="964">
      <c r="G964" s="1"/>
    </row>
    <row r="965">
      <c r="G965" s="1"/>
    </row>
    <row r="966">
      <c r="G966" s="1"/>
    </row>
    <row r="967">
      <c r="G967" s="1"/>
    </row>
    <row r="968">
      <c r="G968" s="1"/>
    </row>
    <row r="969">
      <c r="G969" s="1"/>
    </row>
    <row r="970">
      <c r="G970" s="1"/>
    </row>
    <row r="971">
      <c r="G971" s="1"/>
    </row>
    <row r="972">
      <c r="G972" s="1"/>
    </row>
    <row r="973">
      <c r="G973" s="1"/>
    </row>
    <row r="974">
      <c r="G974" s="1"/>
    </row>
    <row r="975">
      <c r="G975" s="1"/>
    </row>
    <row r="976">
      <c r="G976" s="1"/>
    </row>
    <row r="977">
      <c r="G977" s="1"/>
    </row>
    <row r="978">
      <c r="G978" s="1"/>
    </row>
    <row r="979">
      <c r="G979" s="1"/>
    </row>
    <row r="980">
      <c r="G980" s="1"/>
    </row>
    <row r="981">
      <c r="G981" s="1"/>
    </row>
    <row r="982">
      <c r="G982" s="1"/>
    </row>
    <row r="983">
      <c r="G983" s="1"/>
    </row>
    <row r="984">
      <c r="G984" s="1"/>
    </row>
    <row r="985">
      <c r="G985" s="1"/>
    </row>
    <row r="986">
      <c r="G986" s="1"/>
    </row>
    <row r="987">
      <c r="G987" s="1"/>
    </row>
    <row r="988">
      <c r="G988" s="1"/>
    </row>
    <row r="989">
      <c r="G989" s="1"/>
    </row>
    <row r="990">
      <c r="G990" s="1"/>
    </row>
    <row r="991">
      <c r="G991" s="1"/>
    </row>
    <row r="992">
      <c r="G992" s="1"/>
    </row>
    <row r="993">
      <c r="G993" s="1"/>
    </row>
    <row r="994">
      <c r="G994" s="1"/>
    </row>
    <row r="995">
      <c r="G995" s="1"/>
    </row>
    <row r="996">
      <c r="G996" s="1"/>
    </row>
    <row r="997">
      <c r="G997" s="1"/>
    </row>
    <row r="998">
      <c r="G998" s="1"/>
    </row>
    <row r="999">
      <c r="G999" s="1"/>
    </row>
    <row r="1000">
      <c r="G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22</v>
      </c>
      <c r="C1" s="10" t="b">
        <f>Sheet1!F44 &lt;= Sheet1!F440</f>
        <v>0</v>
      </c>
      <c r="D1" s="34" t="s">
        <v>23</v>
      </c>
      <c r="J1" s="35">
        <v>1.0</v>
      </c>
    </row>
    <row r="2">
      <c r="A2" s="1">
        <f>Min(Sheet1!H43)</f>
        <v>43.50709101</v>
      </c>
    </row>
    <row r="3">
      <c r="A3" s="10">
        <f>Sheet1!F44</f>
        <v>7.421091257</v>
      </c>
    </row>
    <row r="4">
      <c r="A4" s="34" t="s">
        <v>24</v>
      </c>
      <c r="B4" s="34" t="s">
        <v>24</v>
      </c>
    </row>
    <row r="6">
      <c r="A6" s="34" t="s">
        <v>25</v>
      </c>
    </row>
    <row r="7">
      <c r="A7" s="10" t="b">
        <f>Sheet1!F44 &lt;= 0</f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0">
        <f>Max(Sheet1!A1)</f>
        <v>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