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1" sheetId="1" r:id="rId4"/>
    <sheet state="visible" name="Test 2" sheetId="2" r:id="rId5"/>
    <sheet state="visible" name="Test 3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How do I apply this to the data?
	-Nicholas Barber
I sent you Data
	-Nicholas Barber
_Marked as resolved_
	-Jose Barbeito
_Re-opened_
What's wrong?
	-Nicholas Barber</t>
      </text>
    </comment>
  </commentList>
</comments>
</file>

<file path=xl/sharedStrings.xml><?xml version="1.0" encoding="utf-8"?>
<sst xmlns="http://schemas.openxmlformats.org/spreadsheetml/2006/main" count="289" uniqueCount="216">
  <si>
    <t>Total Score</t>
  </si>
  <si>
    <t>Fraction added:</t>
  </si>
  <si>
    <t>Average After Curve:</t>
  </si>
  <si>
    <t>Student Score</t>
  </si>
  <si>
    <t>Percentage</t>
  </si>
  <si>
    <t>Adjusted Score</t>
  </si>
  <si>
    <t>Points added</t>
  </si>
  <si>
    <t>Percatage Added</t>
  </si>
  <si>
    <t>Average Before Curve</t>
  </si>
  <si>
    <t>Question</t>
  </si>
  <si>
    <t>Q. 1 /2.00</t>
  </si>
  <si>
    <t>Q. 2 /2.00</t>
  </si>
  <si>
    <t>Q. 3 /2.00</t>
  </si>
  <si>
    <t>Q. 4 /2.00</t>
  </si>
  <si>
    <t>Q. 5 /2.00</t>
  </si>
  <si>
    <t>Q. 6 /10.00</t>
  </si>
  <si>
    <t>Q. 7 /10.00</t>
  </si>
  <si>
    <t>Q. 8 /10.00</t>
  </si>
  <si>
    <t>Q. 9 /10.00</t>
  </si>
  <si>
    <t>Q. 10 /10.00</t>
  </si>
  <si>
    <t>Q. 11 /10.00</t>
  </si>
  <si>
    <t>Q. 12 /10.00</t>
  </si>
  <si>
    <t>Q. 13 /10.00</t>
  </si>
  <si>
    <t>Q. 14 /10.00</t>
  </si>
  <si>
    <t>Q. 15 /10.00</t>
  </si>
  <si>
    <t>Q. 16 /10.00</t>
  </si>
  <si>
    <t>Q. 17 /10.00</t>
  </si>
  <si>
    <t>Q. 18 /10.00</t>
  </si>
  <si>
    <t>Q. 19 /10.00</t>
  </si>
  <si>
    <t>-</t>
  </si>
  <si>
    <t>Average</t>
  </si>
  <si>
    <t># stdns Correct</t>
  </si>
  <si>
    <t>Percetage</t>
  </si>
  <si>
    <t>Highest Correct Question:</t>
  </si>
  <si>
    <t>Question 4, with 79% correct</t>
  </si>
  <si>
    <t>Lowest Correct Question</t>
  </si>
  <si>
    <t>Question 3, with 24% correct</t>
  </si>
  <si>
    <t>(excluding question 10, which no one received full points for)</t>
  </si>
  <si>
    <t>.</t>
  </si>
  <si>
    <t>Starte" "d on</t>
  </si>
  <si>
    <t>Completed</t>
  </si>
  <si>
    <t>Time taken</t>
  </si>
  <si>
    <t>Grade/150.00</t>
  </si>
  <si>
    <t>Q. 19 /10.00"</t>
  </si>
  <si>
    <t>,,,,February 16 2023 "9:16 AM</t>
  </si>
  <si>
    <t>February 16 2023" "9:40 PM</t>
  </si>
  <si>
    <t>12 hours 23 mins</t>
  </si>
  <si>
    <t>,,,,February 16 2023 "10:50 AM</t>
  </si>
  <si>
    <t>February 16 2023" "5:33 PM</t>
  </si>
  <si>
    <t>6 hours 42 mins</t>
  </si>
  <si>
    <t>,,,,February 16 2023 "11:19 AM</t>
  </si>
  <si>
    <t>February 16 2023" "3:28 PM</t>
  </si>
  <si>
    <t>4 hours 8 mins</t>
  </si>
  <si>
    <t>,,,,February 16 2023 "11:20 AM</t>
  </si>
  <si>
    <t>February 17 2023" "11:20 AM</t>
  </si>
  <si>
    <t>1 day</t>
  </si>
  <si>
    <t>,,,,February 16 2023 "12:01 PM</t>
  </si>
  <si>
    <t>February 16 2023" "3:43 PM</t>
  </si>
  <si>
    <t>3 hours 42 mins</t>
  </si>
  <si>
    <t>,,,,February 16 2023 "1:02 PM</t>
  </si>
  <si>
    <t>February 17 2023" "12:30 AM</t>
  </si>
  <si>
    <t>11 hours 27 mins</t>
  </si>
  <si>
    <t>,,,,February 17 2023 "1:37 PM</t>
  </si>
  <si>
    <t>February 17 2023" "4:59 PM</t>
  </si>
  <si>
    <t>3 hours 22 mins</t>
  </si>
  <si>
    <t>,,,,February 17 2023 "2:29 PM</t>
  </si>
  <si>
    <t>February 18 2023" "2:15 PM</t>
  </si>
  <si>
    <t>23 hours 45 mins</t>
  </si>
  <si>
    <t>,,,,February 17 2023 "7:54 PM</t>
  </si>
  <si>
    <t>February 17 2023" "8:32 PM</t>
  </si>
  <si>
    <t>38 mins 26 secs</t>
  </si>
  <si>
    <t>,,,,February 17 2023 "9:23 PM</t>
  </si>
  <si>
    <t>February 18 2023" "6:44 PM</t>
  </si>
  <si>
    <t>21 hours 21 mins</t>
  </si>
  <si>
    <t>,,,,February 17 2023 "11:14 PM</t>
  </si>
  <si>
    <t>February 18 2023" "10:06 PM</t>
  </si>
  <si>
    <t>22 hours 52 mins</t>
  </si>
  <si>
    <t>,,,,February 18 2023 "10:10 AM</t>
  </si>
  <si>
    <t>February 18 2023" "11:52 PM</t>
  </si>
  <si>
    <t>13 hours 42 mins</t>
  </si>
  <si>
    <t>,,,,February 18 2023 "10:19 AM</t>
  </si>
  <si>
    <t>February 18 2023" "7:10 PM</t>
  </si>
  <si>
    <t>8 hours 51 mins</t>
  </si>
  <si>
    <t>,,,,February 18 2023 "10:36 AM</t>
  </si>
  <si>
    <t>February 19 2023" "8:52 AM</t>
  </si>
  <si>
    <t>22 hours 16 mins</t>
  </si>
  <si>
    <t>,,,,February 18 2023 "12:37 PM</t>
  </si>
  <si>
    <t>February 18 2023" "4:04 PM</t>
  </si>
  <si>
    <t>3 hours 27 mins</t>
  </si>
  <si>
    <t>,,,,February 18 2023 "1:22 PM</t>
  </si>
  <si>
    <t>February 19 2023" "1:23 PM</t>
  </si>
  <si>
    <t>,,,,February 18 2023 "3:01 PM</t>
  </si>
  <si>
    <t>February 19 2023" "1:51 PM</t>
  </si>
  <si>
    <t>22 hours 49 mins</t>
  </si>
  <si>
    <t>,,,,February 18 2023 "4:16 PM</t>
  </si>
  <si>
    <t>February 18 2023" "5:49 PM</t>
  </si>
  <si>
    <t>1 hour 33 mins</t>
  </si>
  <si>
    <t>,,,,February 18 2023 "4:30 PM</t>
  </si>
  <si>
    <t>February 18 2023" "5:25 PM</t>
  </si>
  <si>
    <t>55 mins 37 secs</t>
  </si>
  <si>
    <t>,,,,February 18 2023 "5:23 PM</t>
  </si>
  <si>
    <t>February 18 2023" "7:33 PM</t>
  </si>
  <si>
    <t>2 hours 10 mins</t>
  </si>
  <si>
    <t>,,,,February 18 2023 "7:16 PM</t>
  </si>
  <si>
    <t>February 18 2023" "9:08 PM</t>
  </si>
  <si>
    <t>1 hour 52 mins</t>
  </si>
  <si>
    <t>,,,,February 18 2023 "9:59 PM</t>
  </si>
  <si>
    <t>February 19 2023" "4:17 PM</t>
  </si>
  <si>
    <t>18 hours 17 mins</t>
  </si>
  <si>
    <t>,,,,February 18 2023 "11:04 PM</t>
  </si>
  <si>
    <t>February 19 2023" "7:08 PM</t>
  </si>
  <si>
    <t>20 hours 3 mins</t>
  </si>
  <si>
    <t>,,,,February 18 2023 "11:10 PM</t>
  </si>
  <si>
    <t>February 19 2023" "1:38 PM</t>
  </si>
  <si>
    <t>14 hours 27 mins</t>
  </si>
  <si>
    <t>,,,,February 18 2023 "11:56 PM</t>
  </si>
  <si>
    <t>February 19 2023" "8:01 PM</t>
  </si>
  <si>
    <t>20 hours 4 mins</t>
  </si>
  <si>
    <t>,,,,February 19 2023 "7:26 AM</t>
  </si>
  <si>
    <t>February 19 2023" "11:00 PM</t>
  </si>
  <si>
    <t>15 hours 33 mins</t>
  </si>
  <si>
    <t>-"</t>
  </si>
  <si>
    <t>,,,,February 19 2023 "10:52 AM</t>
  </si>
  <si>
    <t>February 19 2023" "10:14 PM</t>
  </si>
  <si>
    <t>11 hours 22 mins</t>
  </si>
  <si>
    <t>,,,,February 19 2023 "10:59 AM</t>
  </si>
  <si>
    <t>February 19 2023" "12:33 PM</t>
  </si>
  <si>
    <t>,,,,February 19 2023 "11:35 AM</t>
  </si>
  <si>
    <t>February 19 2023" "6:25 PM</t>
  </si>
  <si>
    <t>6 hours 49 mins</t>
  </si>
  <si>
    <t>,,,,February 19 2023 "11:41 AM</t>
  </si>
  <si>
    <t>February 19 2023" "12:17 PM</t>
  </si>
  <si>
    <t>35 mins 50 secs</t>
  </si>
  <si>
    <t>,,,,February 19 2023 "11:59 AM</t>
  </si>
  <si>
    <t>February 19 2023" "11:04 PM</t>
  </si>
  <si>
    <t>11 hours 4 mins</t>
  </si>
  <si>
    <t>,,,,February 19 2023 "12:33 PM</t>
  </si>
  <si>
    <t>February 19 2023" "6:03 PM</t>
  </si>
  <si>
    <t>5 hours 30 mins</t>
  </si>
  <si>
    <t>,,,,February 19 2023 "12:39 PM</t>
  </si>
  <si>
    <t>February 19 2023" "8:16 PM</t>
  </si>
  <si>
    <t>7 hours 36 mins</t>
  </si>
  <si>
    <t>,,,,February 19 2023 "1:03 PM</t>
  </si>
  <si>
    <t>February 19 2023" "3:13 PM</t>
  </si>
  <si>
    <t>2 hours 9 mins</t>
  </si>
  <si>
    <t>,,,,February 19 2023 "1:30 PM</t>
  </si>
  <si>
    <t>February 19 2023" "9:48 PM</t>
  </si>
  <si>
    <t>8 hours 18 mins</t>
  </si>
  <si>
    <t>,,,,February 19 2023 "2:05 PM</t>
  </si>
  <si>
    <t>February 19 2023" "4:58 PM</t>
  </si>
  <si>
    <t>2 hours 52 mins</t>
  </si>
  <si>
    <t>,,,,February 19 2023 "2:36 PM</t>
  </si>
  <si>
    <t>February 19 2023" "3:18 PM</t>
  </si>
  <si>
    <t>42 mins 16 secs</t>
  </si>
  <si>
    <t>,,,,February 19 2023 "2:37 PM</t>
  </si>
  <si>
    <t>February 19 2023" "3:35 PM</t>
  </si>
  <si>
    <t>58 mins 32 secs</t>
  </si>
  <si>
    <t>,,,,February 19 2023 "2:47 PM</t>
  </si>
  <si>
    <t>February 19 2023" "10:21 PM</t>
  </si>
  <si>
    <t>7 hours 34 mins</t>
  </si>
  <si>
    <t>,,,,February 19 2023 "3:07 PM</t>
  </si>
  <si>
    <t>February 19 2023" "4:15 PM</t>
  </si>
  <si>
    <t>1 hour 7 mins</t>
  </si>
  <si>
    <t>,,,,February 19 2023 "3:25 PM</t>
  </si>
  <si>
    <t>February 19 2023" "4:40 PM</t>
  </si>
  <si>
    <t>1 hour 15 mins</t>
  </si>
  <si>
    <t>,,,,February 19 2023 "3:40 PM</t>
  </si>
  <si>
    <t>February 19 2023" "5:19 PM</t>
  </si>
  <si>
    <t>1 hour 39 mins</t>
  </si>
  <si>
    <t>,,,,February 19 2023 "3:41 PM</t>
  </si>
  <si>
    <t>,,,,February 19 2023 "5:17 PM</t>
  </si>
  <si>
    <t>February 19 2023" "7:04 PM</t>
  </si>
  <si>
    <t>1 hour 47 mins</t>
  </si>
  <si>
    <t>,,,,February 19 2023 "5:37 PM</t>
  </si>
  <si>
    <t>February 19 2023" "8:32 PM</t>
  </si>
  <si>
    <t>2 hours 55 mins</t>
  </si>
  <si>
    <t>,,,,February 19 2023 "6:25 PM</t>
  </si>
  <si>
    <t>February 19 2023" "8:20 PM</t>
  </si>
  <si>
    <t>1 hour 54 mins</t>
  </si>
  <si>
    <t>,,,,February 19 2023 "6:33 PM</t>
  </si>
  <si>
    <t>February 19 2023" "11:07 PM</t>
  </si>
  <si>
    <t>4 hours 33 mins</t>
  </si>
  <si>
    <t>,,,,February 19 2023 "7:34 PM</t>
  </si>
  <si>
    <t>February 19 2023" "10:05 PM</t>
  </si>
  <si>
    <t>2 hours 31 mins</t>
  </si>
  <si>
    <t>,,,,February 19 2023 "7:41 PM</t>
  </si>
  <si>
    <t>February 19 2023" "10:28 PM</t>
  </si>
  <si>
    <t>2 hours 46 mins</t>
  </si>
  <si>
    <t>,,,,February 19 2023 "7:49 PM</t>
  </si>
  <si>
    <t>February 19 2023" "11:59 PM</t>
  </si>
  <si>
    <t>4 hours 9 mins</t>
  </si>
  <si>
    <t>,,,,February 19 2023 "7:58 PM</t>
  </si>
  <si>
    <t>February 19 2023" "8:35 PM</t>
  </si>
  <si>
    <t>36 mins 41 secs</t>
  </si>
  <si>
    <t>,,,,February 19 2023 "9:10 PM</t>
  </si>
  <si>
    <t>February 19 2023" "11:02 PM</t>
  </si>
  <si>
    <t>,,,,February 19 2023 "9:27 PM</t>
  </si>
  <si>
    <t>February 19 2023" "11:58 PM</t>
  </si>
  <si>
    <t>,,,,February 19 2023 "9:42 PM</t>
  </si>
  <si>
    <t>February 19 2023" "10:44 PM</t>
  </si>
  <si>
    <t>1 hour 1 min</t>
  </si>
  <si>
    <t>,,,,February 19 2023 "9:54 PM</t>
  </si>
  <si>
    <t>February 19 2023" "11:36 PM</t>
  </si>
  <si>
    <t>1 hour 41 mins</t>
  </si>
  <si>
    <t>,,,,February 19 2023 "9:59 PM</t>
  </si>
  <si>
    <t>February 19 2023" "11:32 PM</t>
  </si>
  <si>
    <t>,,,,February 19 2023 "10:04 PM</t>
  </si>
  <si>
    <t>February 19 2023" "10:37 PM</t>
  </si>
  <si>
    <t>33 mins 2 secs</t>
  </si>
  <si>
    <t>,,,,February 19 2023 "10:05 PM</t>
  </si>
  <si>
    <t>1 hour 53 mins</t>
  </si>
  <si>
    <t>,,,,February 26 2023 "3:10 PM</t>
  </si>
  <si>
    <t>February 26 2023" "11:39 PM</t>
  </si>
  <si>
    <t>8 hours 29 mins</t>
  </si>
  <si>
    <t>,,,,,,,91.95 "</t>
  </si>
  <si>
    <t>Q. 17 /20.00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</si>
</sst>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1" fillId="2" fontId="1" numFmtId="10" xfId="0" applyBorder="1" applyFont="1" applyNumberFormat="1"/>
    <xf borderId="0" fillId="3" fontId="1" numFmtId="0" xfId="0" applyAlignment="1" applyFill="1" applyFon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3" numFmtId="10" xfId="0" applyFont="1" applyNumberFormat="1"/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3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0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63"/>
  </cols>
  <sheetData>
    <row r="1">
      <c r="A1" s="1"/>
      <c r="B1" s="2"/>
      <c r="C1" s="1" t="s">
        <v>0</v>
      </c>
      <c r="D1" s="1">
        <v>150.0</v>
      </c>
      <c r="E1" s="1" t="s">
        <v>1</v>
      </c>
      <c r="F1" s="1">
        <v>0.6401</v>
      </c>
      <c r="G1" s="3" t="s">
        <v>2</v>
      </c>
      <c r="H1" s="4">
        <f>AVERAGE(D3:D61)</f>
        <v>0.7999768406</v>
      </c>
      <c r="I1" s="1"/>
    </row>
    <row r="2">
      <c r="A2" s="1" t="s">
        <v>3</v>
      </c>
      <c r="B2" s="1" t="s">
        <v>4</v>
      </c>
      <c r="C2" s="5" t="s">
        <v>5</v>
      </c>
      <c r="D2" s="1" t="s">
        <v>4</v>
      </c>
      <c r="E2" s="1" t="s">
        <v>6</v>
      </c>
      <c r="F2" s="1" t="s">
        <v>7</v>
      </c>
      <c r="G2" s="1" t="s">
        <v>8</v>
      </c>
      <c r="H2" s="6">
        <f>AVERAGE(A3:A59)</f>
        <v>66.63385965</v>
      </c>
      <c r="I2" s="1"/>
    </row>
    <row r="3">
      <c r="A3" s="7">
        <v>97.0</v>
      </c>
      <c r="B3" s="8">
        <f t="shared" ref="B3:B59" si="1">A3/$D$1</f>
        <v>0.6466666667</v>
      </c>
      <c r="C3" s="2">
        <f t="shared" ref="C3:C59" si="2">($D$1-A3)*$F$1+A3</f>
        <v>130.9253</v>
      </c>
      <c r="D3" s="8">
        <f t="shared" ref="D3:D59" si="3">C3/$D$1</f>
        <v>0.8728353333</v>
      </c>
      <c r="E3" s="2">
        <f t="shared" ref="E3:E59" si="4">round(C3-A3,0)</f>
        <v>34</v>
      </c>
      <c r="F3" s="8">
        <f t="shared" ref="F3:F59" si="5">E3/$D$1</f>
        <v>0.2266666667</v>
      </c>
      <c r="G3" s="2"/>
      <c r="H3" s="2"/>
      <c r="I3" s="1"/>
    </row>
    <row r="4">
      <c r="A4" s="7">
        <v>65.5</v>
      </c>
      <c r="B4" s="8">
        <f t="shared" si="1"/>
        <v>0.4366666667</v>
      </c>
      <c r="C4" s="2">
        <f t="shared" si="2"/>
        <v>119.58845</v>
      </c>
      <c r="D4" s="8">
        <f t="shared" si="3"/>
        <v>0.7972563333</v>
      </c>
      <c r="E4" s="2">
        <f t="shared" si="4"/>
        <v>54</v>
      </c>
      <c r="F4" s="8">
        <f t="shared" si="5"/>
        <v>0.36</v>
      </c>
      <c r="G4" s="2"/>
      <c r="H4" s="2"/>
      <c r="I4" s="1"/>
    </row>
    <row r="5">
      <c r="A5" s="7">
        <v>134.5</v>
      </c>
      <c r="B5" s="8">
        <f t="shared" si="1"/>
        <v>0.8966666667</v>
      </c>
      <c r="C5" s="2">
        <f t="shared" si="2"/>
        <v>144.42155</v>
      </c>
      <c r="D5" s="8">
        <f t="shared" si="3"/>
        <v>0.9628103333</v>
      </c>
      <c r="E5" s="2">
        <f t="shared" si="4"/>
        <v>10</v>
      </c>
      <c r="F5" s="8">
        <f t="shared" si="5"/>
        <v>0.06666666667</v>
      </c>
      <c r="G5" s="2"/>
      <c r="H5" s="2"/>
      <c r="I5" s="1"/>
    </row>
    <row r="6">
      <c r="A6" s="7">
        <v>21.0</v>
      </c>
      <c r="B6" s="8">
        <f t="shared" si="1"/>
        <v>0.14</v>
      </c>
      <c r="C6" s="2">
        <f t="shared" si="2"/>
        <v>103.5729</v>
      </c>
      <c r="D6" s="8">
        <f t="shared" si="3"/>
        <v>0.690486</v>
      </c>
      <c r="E6" s="2">
        <f t="shared" si="4"/>
        <v>83</v>
      </c>
      <c r="F6" s="8">
        <f t="shared" si="5"/>
        <v>0.5533333333</v>
      </c>
      <c r="G6" s="2"/>
      <c r="H6" s="2"/>
      <c r="I6" s="1"/>
    </row>
    <row r="7">
      <c r="A7" s="7">
        <v>97.5</v>
      </c>
      <c r="B7" s="8">
        <f t="shared" si="1"/>
        <v>0.65</v>
      </c>
      <c r="C7" s="2">
        <f t="shared" si="2"/>
        <v>131.10525</v>
      </c>
      <c r="D7" s="8">
        <f t="shared" si="3"/>
        <v>0.874035</v>
      </c>
      <c r="E7" s="2">
        <f t="shared" si="4"/>
        <v>34</v>
      </c>
      <c r="F7" s="8">
        <f t="shared" si="5"/>
        <v>0.2266666667</v>
      </c>
      <c r="G7" s="2"/>
      <c r="H7" s="2"/>
      <c r="I7" s="1"/>
    </row>
    <row r="8">
      <c r="A8" s="7">
        <v>63.0</v>
      </c>
      <c r="B8" s="8">
        <f t="shared" si="1"/>
        <v>0.42</v>
      </c>
      <c r="C8" s="2">
        <f t="shared" si="2"/>
        <v>118.6887</v>
      </c>
      <c r="D8" s="8">
        <f t="shared" si="3"/>
        <v>0.791258</v>
      </c>
      <c r="E8" s="2">
        <f t="shared" si="4"/>
        <v>56</v>
      </c>
      <c r="F8" s="8">
        <f t="shared" si="5"/>
        <v>0.3733333333</v>
      </c>
      <c r="G8" s="2"/>
      <c r="H8" s="2"/>
      <c r="I8" s="1"/>
    </row>
    <row r="9">
      <c r="A9" s="7">
        <v>61.0</v>
      </c>
      <c r="B9" s="8">
        <f t="shared" si="1"/>
        <v>0.4066666667</v>
      </c>
      <c r="C9" s="2">
        <f t="shared" si="2"/>
        <v>117.9689</v>
      </c>
      <c r="D9" s="8">
        <f t="shared" si="3"/>
        <v>0.7864593333</v>
      </c>
      <c r="E9" s="2">
        <f t="shared" si="4"/>
        <v>57</v>
      </c>
      <c r="F9" s="8">
        <f t="shared" si="5"/>
        <v>0.38</v>
      </c>
      <c r="G9" s="2"/>
      <c r="H9" s="2"/>
      <c r="I9" s="1"/>
    </row>
    <row r="10">
      <c r="A10" s="7">
        <v>77.5</v>
      </c>
      <c r="B10" s="8">
        <f t="shared" si="1"/>
        <v>0.5166666667</v>
      </c>
      <c r="C10" s="2">
        <f t="shared" si="2"/>
        <v>123.90725</v>
      </c>
      <c r="D10" s="8">
        <f t="shared" si="3"/>
        <v>0.8260483333</v>
      </c>
      <c r="E10" s="2">
        <f t="shared" si="4"/>
        <v>46</v>
      </c>
      <c r="F10" s="8">
        <f t="shared" si="5"/>
        <v>0.3066666667</v>
      </c>
      <c r="G10" s="2"/>
      <c r="H10" s="2"/>
      <c r="I10" s="2"/>
    </row>
    <row r="11">
      <c r="A11" s="7">
        <v>53.0</v>
      </c>
      <c r="B11" s="8">
        <f t="shared" si="1"/>
        <v>0.3533333333</v>
      </c>
      <c r="C11" s="2">
        <f t="shared" si="2"/>
        <v>115.0897</v>
      </c>
      <c r="D11" s="8">
        <f t="shared" si="3"/>
        <v>0.7672646667</v>
      </c>
      <c r="E11" s="2">
        <f t="shared" si="4"/>
        <v>62</v>
      </c>
      <c r="F11" s="8">
        <f t="shared" si="5"/>
        <v>0.4133333333</v>
      </c>
      <c r="G11" s="2"/>
      <c r="H11" s="2"/>
      <c r="I11" s="2"/>
    </row>
    <row r="12">
      <c r="A12" s="7">
        <v>40.0</v>
      </c>
      <c r="B12" s="8">
        <f t="shared" si="1"/>
        <v>0.2666666667</v>
      </c>
      <c r="C12" s="2">
        <f t="shared" si="2"/>
        <v>110.411</v>
      </c>
      <c r="D12" s="8">
        <f t="shared" si="3"/>
        <v>0.7360733333</v>
      </c>
      <c r="E12" s="2">
        <f t="shared" si="4"/>
        <v>70</v>
      </c>
      <c r="F12" s="8">
        <f t="shared" si="5"/>
        <v>0.4666666667</v>
      </c>
      <c r="G12" s="2"/>
      <c r="H12" s="2"/>
      <c r="I12" s="2"/>
    </row>
    <row r="13">
      <c r="A13" s="7">
        <v>50.0</v>
      </c>
      <c r="B13" s="8">
        <f t="shared" si="1"/>
        <v>0.3333333333</v>
      </c>
      <c r="C13" s="2">
        <f t="shared" si="2"/>
        <v>114.01</v>
      </c>
      <c r="D13" s="8">
        <f t="shared" si="3"/>
        <v>0.7600666667</v>
      </c>
      <c r="E13" s="2">
        <f t="shared" si="4"/>
        <v>64</v>
      </c>
      <c r="F13" s="8">
        <f t="shared" si="5"/>
        <v>0.4266666667</v>
      </c>
      <c r="G13" s="2"/>
      <c r="H13" s="2"/>
      <c r="I13" s="2"/>
    </row>
    <row r="14">
      <c r="A14" s="7">
        <v>103.0</v>
      </c>
      <c r="B14" s="8">
        <f t="shared" si="1"/>
        <v>0.6866666667</v>
      </c>
      <c r="C14" s="2">
        <f t="shared" si="2"/>
        <v>133.0847</v>
      </c>
      <c r="D14" s="8">
        <f t="shared" si="3"/>
        <v>0.8872313333</v>
      </c>
      <c r="E14" s="2">
        <f t="shared" si="4"/>
        <v>30</v>
      </c>
      <c r="F14" s="8">
        <f t="shared" si="5"/>
        <v>0.2</v>
      </c>
      <c r="G14" s="2"/>
      <c r="H14" s="2"/>
      <c r="I14" s="2"/>
    </row>
    <row r="15">
      <c r="A15" s="7">
        <v>67.0</v>
      </c>
      <c r="B15" s="8">
        <f t="shared" si="1"/>
        <v>0.4466666667</v>
      </c>
      <c r="C15" s="2">
        <f t="shared" si="2"/>
        <v>120.1283</v>
      </c>
      <c r="D15" s="8">
        <f t="shared" si="3"/>
        <v>0.8008553333</v>
      </c>
      <c r="E15" s="2">
        <f t="shared" si="4"/>
        <v>53</v>
      </c>
      <c r="F15" s="8">
        <f t="shared" si="5"/>
        <v>0.3533333333</v>
      </c>
      <c r="G15" s="2"/>
      <c r="H15" s="2"/>
      <c r="I15" s="2"/>
    </row>
    <row r="16">
      <c r="A16" s="7">
        <v>65.5</v>
      </c>
      <c r="B16" s="8">
        <f t="shared" si="1"/>
        <v>0.4366666667</v>
      </c>
      <c r="C16" s="2">
        <f t="shared" si="2"/>
        <v>119.58845</v>
      </c>
      <c r="D16" s="8">
        <f t="shared" si="3"/>
        <v>0.7972563333</v>
      </c>
      <c r="E16" s="2">
        <f t="shared" si="4"/>
        <v>54</v>
      </c>
      <c r="F16" s="8">
        <f t="shared" si="5"/>
        <v>0.36</v>
      </c>
      <c r="G16" s="2"/>
      <c r="H16" s="2"/>
      <c r="I16" s="2"/>
    </row>
    <row r="17">
      <c r="A17" s="7">
        <v>73.5</v>
      </c>
      <c r="B17" s="8">
        <f t="shared" si="1"/>
        <v>0.49</v>
      </c>
      <c r="C17" s="2">
        <f t="shared" si="2"/>
        <v>122.46765</v>
      </c>
      <c r="D17" s="8">
        <f t="shared" si="3"/>
        <v>0.816451</v>
      </c>
      <c r="E17" s="2">
        <f t="shared" si="4"/>
        <v>49</v>
      </c>
      <c r="F17" s="8">
        <f t="shared" si="5"/>
        <v>0.3266666667</v>
      </c>
      <c r="G17" s="2"/>
      <c r="H17" s="2"/>
      <c r="I17" s="2"/>
    </row>
    <row r="18">
      <c r="A18" s="7">
        <v>64.5</v>
      </c>
      <c r="B18" s="8">
        <f t="shared" si="1"/>
        <v>0.43</v>
      </c>
      <c r="C18" s="2">
        <f t="shared" si="2"/>
        <v>119.22855</v>
      </c>
      <c r="D18" s="8">
        <f t="shared" si="3"/>
        <v>0.794857</v>
      </c>
      <c r="E18" s="2">
        <f t="shared" si="4"/>
        <v>55</v>
      </c>
      <c r="F18" s="8">
        <f t="shared" si="5"/>
        <v>0.3666666667</v>
      </c>
      <c r="G18" s="2"/>
      <c r="H18" s="2"/>
      <c r="I18" s="2"/>
    </row>
    <row r="19">
      <c r="A19" s="7">
        <v>75.0</v>
      </c>
      <c r="B19" s="8">
        <f t="shared" si="1"/>
        <v>0.5</v>
      </c>
      <c r="C19" s="2">
        <f t="shared" si="2"/>
        <v>123.0075</v>
      </c>
      <c r="D19" s="8">
        <f t="shared" si="3"/>
        <v>0.82005</v>
      </c>
      <c r="E19" s="2">
        <f t="shared" si="4"/>
        <v>48</v>
      </c>
      <c r="F19" s="8">
        <f t="shared" si="5"/>
        <v>0.32</v>
      </c>
      <c r="G19" s="2"/>
      <c r="H19" s="2"/>
      <c r="I19" s="2"/>
    </row>
    <row r="20">
      <c r="A20" s="7">
        <v>46.0</v>
      </c>
      <c r="B20" s="8">
        <f t="shared" si="1"/>
        <v>0.3066666667</v>
      </c>
      <c r="C20" s="2">
        <f t="shared" si="2"/>
        <v>112.5704</v>
      </c>
      <c r="D20" s="8">
        <f t="shared" si="3"/>
        <v>0.7504693333</v>
      </c>
      <c r="E20" s="2">
        <f t="shared" si="4"/>
        <v>67</v>
      </c>
      <c r="F20" s="8">
        <f t="shared" si="5"/>
        <v>0.4466666667</v>
      </c>
      <c r="G20" s="2"/>
      <c r="H20" s="2"/>
      <c r="I20" s="2"/>
    </row>
    <row r="21">
      <c r="A21" s="7">
        <v>46.0</v>
      </c>
      <c r="B21" s="8">
        <f t="shared" si="1"/>
        <v>0.3066666667</v>
      </c>
      <c r="C21" s="2">
        <f t="shared" si="2"/>
        <v>112.5704</v>
      </c>
      <c r="D21" s="8">
        <f t="shared" si="3"/>
        <v>0.7504693333</v>
      </c>
      <c r="E21" s="2">
        <f t="shared" si="4"/>
        <v>67</v>
      </c>
      <c r="F21" s="8">
        <f t="shared" si="5"/>
        <v>0.4466666667</v>
      </c>
      <c r="G21" s="2"/>
      <c r="H21" s="2"/>
      <c r="I21" s="2"/>
    </row>
    <row r="22">
      <c r="A22" s="7">
        <v>87.0</v>
      </c>
      <c r="B22" s="8">
        <f t="shared" si="1"/>
        <v>0.58</v>
      </c>
      <c r="C22" s="2">
        <f t="shared" si="2"/>
        <v>127.3263</v>
      </c>
      <c r="D22" s="8">
        <f t="shared" si="3"/>
        <v>0.848842</v>
      </c>
      <c r="E22" s="2">
        <f t="shared" si="4"/>
        <v>40</v>
      </c>
      <c r="F22" s="8">
        <f t="shared" si="5"/>
        <v>0.2666666667</v>
      </c>
      <c r="G22" s="2"/>
      <c r="H22" s="2"/>
      <c r="I22" s="2"/>
    </row>
    <row r="23">
      <c r="A23" s="7">
        <v>129.5</v>
      </c>
      <c r="B23" s="8">
        <f t="shared" si="1"/>
        <v>0.8633333333</v>
      </c>
      <c r="C23" s="2">
        <f t="shared" si="2"/>
        <v>142.62205</v>
      </c>
      <c r="D23" s="8">
        <f t="shared" si="3"/>
        <v>0.9508136667</v>
      </c>
      <c r="E23" s="2">
        <f t="shared" si="4"/>
        <v>13</v>
      </c>
      <c r="F23" s="8">
        <f t="shared" si="5"/>
        <v>0.08666666667</v>
      </c>
      <c r="G23" s="2"/>
      <c r="H23" s="2"/>
      <c r="I23" s="2"/>
    </row>
    <row r="24">
      <c r="A24" s="7">
        <v>93.0</v>
      </c>
      <c r="B24" s="8">
        <f t="shared" si="1"/>
        <v>0.62</v>
      </c>
      <c r="C24" s="2">
        <f t="shared" si="2"/>
        <v>129.4857</v>
      </c>
      <c r="D24" s="8">
        <f t="shared" si="3"/>
        <v>0.863238</v>
      </c>
      <c r="E24" s="2">
        <f t="shared" si="4"/>
        <v>36</v>
      </c>
      <c r="F24" s="8">
        <f t="shared" si="5"/>
        <v>0.24</v>
      </c>
      <c r="G24" s="2"/>
      <c r="H24" s="2"/>
      <c r="I24" s="2"/>
    </row>
    <row r="25">
      <c r="A25" s="7">
        <v>63.0</v>
      </c>
      <c r="B25" s="8">
        <f t="shared" si="1"/>
        <v>0.42</v>
      </c>
      <c r="C25" s="2">
        <f t="shared" si="2"/>
        <v>118.6887</v>
      </c>
      <c r="D25" s="8">
        <f t="shared" si="3"/>
        <v>0.791258</v>
      </c>
      <c r="E25" s="2">
        <f t="shared" si="4"/>
        <v>56</v>
      </c>
      <c r="F25" s="8">
        <f t="shared" si="5"/>
        <v>0.3733333333</v>
      </c>
      <c r="G25" s="2"/>
      <c r="H25" s="2"/>
      <c r="I25" s="2"/>
    </row>
    <row r="26">
      <c r="A26" s="7">
        <v>127.0</v>
      </c>
      <c r="B26" s="8">
        <f t="shared" si="1"/>
        <v>0.8466666667</v>
      </c>
      <c r="C26" s="2">
        <f t="shared" si="2"/>
        <v>141.7223</v>
      </c>
      <c r="D26" s="8">
        <f t="shared" si="3"/>
        <v>0.9448153333</v>
      </c>
      <c r="E26" s="2">
        <f t="shared" si="4"/>
        <v>15</v>
      </c>
      <c r="F26" s="8">
        <f t="shared" si="5"/>
        <v>0.1</v>
      </c>
      <c r="G26" s="2"/>
      <c r="H26" s="2"/>
      <c r="I26" s="2"/>
    </row>
    <row r="27">
      <c r="A27" s="7">
        <v>83.0</v>
      </c>
      <c r="B27" s="8">
        <f t="shared" si="1"/>
        <v>0.5533333333</v>
      </c>
      <c r="C27" s="2">
        <f t="shared" si="2"/>
        <v>125.8867</v>
      </c>
      <c r="D27" s="8">
        <f t="shared" si="3"/>
        <v>0.8392446667</v>
      </c>
      <c r="E27" s="2">
        <f t="shared" si="4"/>
        <v>43</v>
      </c>
      <c r="F27" s="8">
        <f t="shared" si="5"/>
        <v>0.2866666667</v>
      </c>
      <c r="G27" s="2"/>
      <c r="H27" s="2"/>
      <c r="I27" s="2"/>
    </row>
    <row r="28">
      <c r="A28" s="7">
        <v>35.0</v>
      </c>
      <c r="B28" s="8">
        <f t="shared" si="1"/>
        <v>0.2333333333</v>
      </c>
      <c r="C28" s="2">
        <f t="shared" si="2"/>
        <v>108.6115</v>
      </c>
      <c r="D28" s="8">
        <f t="shared" si="3"/>
        <v>0.7240766667</v>
      </c>
      <c r="E28" s="2">
        <f t="shared" si="4"/>
        <v>74</v>
      </c>
      <c r="F28" s="8">
        <f t="shared" si="5"/>
        <v>0.4933333333</v>
      </c>
      <c r="G28" s="2"/>
      <c r="H28" s="2"/>
      <c r="I28" s="2"/>
    </row>
    <row r="29">
      <c r="A29" s="7">
        <v>97.0</v>
      </c>
      <c r="B29" s="8">
        <f t="shared" si="1"/>
        <v>0.6466666667</v>
      </c>
      <c r="C29" s="2">
        <f t="shared" si="2"/>
        <v>130.9253</v>
      </c>
      <c r="D29" s="8">
        <f t="shared" si="3"/>
        <v>0.8728353333</v>
      </c>
      <c r="E29" s="2">
        <f t="shared" si="4"/>
        <v>34</v>
      </c>
      <c r="F29" s="8">
        <f t="shared" si="5"/>
        <v>0.2266666667</v>
      </c>
      <c r="G29" s="2"/>
      <c r="H29" s="2"/>
      <c r="I29" s="2"/>
    </row>
    <row r="30">
      <c r="A30" s="7">
        <v>55.5</v>
      </c>
      <c r="B30" s="8">
        <f t="shared" si="1"/>
        <v>0.37</v>
      </c>
      <c r="C30" s="2">
        <f t="shared" si="2"/>
        <v>115.98945</v>
      </c>
      <c r="D30" s="8">
        <f t="shared" si="3"/>
        <v>0.773263</v>
      </c>
      <c r="E30" s="2">
        <f t="shared" si="4"/>
        <v>60</v>
      </c>
      <c r="F30" s="8">
        <f t="shared" si="5"/>
        <v>0.4</v>
      </c>
      <c r="G30" s="2"/>
      <c r="H30" s="2"/>
      <c r="I30" s="2"/>
    </row>
    <row r="31">
      <c r="A31" s="7">
        <v>85.5</v>
      </c>
      <c r="B31" s="8">
        <f t="shared" si="1"/>
        <v>0.57</v>
      </c>
      <c r="C31" s="2">
        <f t="shared" si="2"/>
        <v>126.78645</v>
      </c>
      <c r="D31" s="8">
        <f t="shared" si="3"/>
        <v>0.845243</v>
      </c>
      <c r="E31" s="2">
        <f t="shared" si="4"/>
        <v>41</v>
      </c>
      <c r="F31" s="8">
        <f t="shared" si="5"/>
        <v>0.2733333333</v>
      </c>
      <c r="G31" s="2"/>
      <c r="H31" s="2"/>
      <c r="I31" s="2"/>
    </row>
    <row r="32">
      <c r="A32" s="7">
        <v>77.5</v>
      </c>
      <c r="B32" s="8">
        <f t="shared" si="1"/>
        <v>0.5166666667</v>
      </c>
      <c r="C32" s="2">
        <f t="shared" si="2"/>
        <v>123.90725</v>
      </c>
      <c r="D32" s="8">
        <f t="shared" si="3"/>
        <v>0.8260483333</v>
      </c>
      <c r="E32" s="2">
        <f t="shared" si="4"/>
        <v>46</v>
      </c>
      <c r="F32" s="8">
        <f t="shared" si="5"/>
        <v>0.3066666667</v>
      </c>
      <c r="G32" s="2"/>
      <c r="H32" s="2"/>
      <c r="I32" s="2"/>
    </row>
    <row r="33">
      <c r="A33" s="7">
        <v>65.0</v>
      </c>
      <c r="B33" s="8">
        <f t="shared" si="1"/>
        <v>0.4333333333</v>
      </c>
      <c r="C33" s="2">
        <f t="shared" si="2"/>
        <v>119.4085</v>
      </c>
      <c r="D33" s="8">
        <f t="shared" si="3"/>
        <v>0.7960566667</v>
      </c>
      <c r="E33" s="2">
        <f t="shared" si="4"/>
        <v>54</v>
      </c>
      <c r="F33" s="8">
        <f t="shared" si="5"/>
        <v>0.36</v>
      </c>
      <c r="G33" s="2"/>
      <c r="H33" s="2"/>
      <c r="I33" s="2"/>
    </row>
    <row r="34">
      <c r="A34" s="7">
        <v>95.0</v>
      </c>
      <c r="B34" s="8">
        <f t="shared" si="1"/>
        <v>0.6333333333</v>
      </c>
      <c r="C34" s="2">
        <f t="shared" si="2"/>
        <v>130.2055</v>
      </c>
      <c r="D34" s="8">
        <f t="shared" si="3"/>
        <v>0.8680366667</v>
      </c>
      <c r="E34" s="2">
        <f t="shared" si="4"/>
        <v>35</v>
      </c>
      <c r="F34" s="8">
        <f t="shared" si="5"/>
        <v>0.2333333333</v>
      </c>
      <c r="G34" s="2"/>
      <c r="H34" s="2"/>
      <c r="I34" s="2"/>
    </row>
    <row r="35">
      <c r="A35" s="7">
        <v>93.5</v>
      </c>
      <c r="B35" s="8">
        <f t="shared" si="1"/>
        <v>0.6233333333</v>
      </c>
      <c r="C35" s="2">
        <f t="shared" si="2"/>
        <v>129.66565</v>
      </c>
      <c r="D35" s="8">
        <f t="shared" si="3"/>
        <v>0.8644376667</v>
      </c>
      <c r="E35" s="2">
        <f t="shared" si="4"/>
        <v>36</v>
      </c>
      <c r="F35" s="8">
        <f t="shared" si="5"/>
        <v>0.24</v>
      </c>
      <c r="G35" s="2"/>
      <c r="H35" s="2"/>
      <c r="I35" s="2"/>
    </row>
    <row r="36">
      <c r="A36" s="7">
        <v>38.0</v>
      </c>
      <c r="B36" s="8">
        <f t="shared" si="1"/>
        <v>0.2533333333</v>
      </c>
      <c r="C36" s="2">
        <f t="shared" si="2"/>
        <v>109.6912</v>
      </c>
      <c r="D36" s="8">
        <f t="shared" si="3"/>
        <v>0.7312746667</v>
      </c>
      <c r="E36" s="2">
        <f t="shared" si="4"/>
        <v>72</v>
      </c>
      <c r="F36" s="8">
        <f t="shared" si="5"/>
        <v>0.48</v>
      </c>
      <c r="G36" s="2"/>
      <c r="H36" s="2"/>
      <c r="I36" s="2"/>
    </row>
    <row r="37">
      <c r="A37" s="7">
        <v>37.0</v>
      </c>
      <c r="B37" s="8">
        <f t="shared" si="1"/>
        <v>0.2466666667</v>
      </c>
      <c r="C37" s="2">
        <f t="shared" si="2"/>
        <v>109.3313</v>
      </c>
      <c r="D37" s="8">
        <f t="shared" si="3"/>
        <v>0.7288753333</v>
      </c>
      <c r="E37" s="2">
        <f t="shared" si="4"/>
        <v>72</v>
      </c>
      <c r="F37" s="8">
        <f t="shared" si="5"/>
        <v>0.48</v>
      </c>
      <c r="G37" s="2"/>
      <c r="H37" s="2"/>
      <c r="I37" s="2"/>
    </row>
    <row r="38">
      <c r="A38" s="7">
        <v>45.0</v>
      </c>
      <c r="B38" s="8">
        <f t="shared" si="1"/>
        <v>0.3</v>
      </c>
      <c r="C38" s="2">
        <f t="shared" si="2"/>
        <v>112.2105</v>
      </c>
      <c r="D38" s="8">
        <f t="shared" si="3"/>
        <v>0.74807</v>
      </c>
      <c r="E38" s="2">
        <f t="shared" si="4"/>
        <v>67</v>
      </c>
      <c r="F38" s="8">
        <f t="shared" si="5"/>
        <v>0.4466666667</v>
      </c>
      <c r="G38" s="2"/>
      <c r="H38" s="2"/>
      <c r="I38" s="2"/>
    </row>
    <row r="39">
      <c r="A39" s="7">
        <v>97.0</v>
      </c>
      <c r="B39" s="8">
        <f t="shared" si="1"/>
        <v>0.6466666667</v>
      </c>
      <c r="C39" s="2">
        <f t="shared" si="2"/>
        <v>130.9253</v>
      </c>
      <c r="D39" s="8">
        <f t="shared" si="3"/>
        <v>0.8728353333</v>
      </c>
      <c r="E39" s="2">
        <f t="shared" si="4"/>
        <v>34</v>
      </c>
      <c r="F39" s="8">
        <f t="shared" si="5"/>
        <v>0.2266666667</v>
      </c>
      <c r="G39" s="2"/>
      <c r="H39" s="2"/>
      <c r="I39" s="2"/>
    </row>
    <row r="40">
      <c r="A40" s="7">
        <v>59.5</v>
      </c>
      <c r="B40" s="8">
        <f t="shared" si="1"/>
        <v>0.3966666667</v>
      </c>
      <c r="C40" s="2">
        <f t="shared" si="2"/>
        <v>117.42905</v>
      </c>
      <c r="D40" s="8">
        <f t="shared" si="3"/>
        <v>0.7828603333</v>
      </c>
      <c r="E40" s="2">
        <f t="shared" si="4"/>
        <v>58</v>
      </c>
      <c r="F40" s="8">
        <f t="shared" si="5"/>
        <v>0.3866666667</v>
      </c>
      <c r="G40" s="2"/>
      <c r="H40" s="2"/>
      <c r="I40" s="2"/>
    </row>
    <row r="41">
      <c r="A41" s="7">
        <v>0.0</v>
      </c>
      <c r="B41" s="8">
        <f t="shared" si="1"/>
        <v>0</v>
      </c>
      <c r="C41" s="2">
        <f t="shared" si="2"/>
        <v>96.015</v>
      </c>
      <c r="D41" s="8">
        <f t="shared" si="3"/>
        <v>0.6401</v>
      </c>
      <c r="E41" s="2">
        <f t="shared" si="4"/>
        <v>96</v>
      </c>
      <c r="F41" s="8">
        <f t="shared" si="5"/>
        <v>0.64</v>
      </c>
      <c r="G41" s="2"/>
      <c r="H41" s="2"/>
      <c r="I41" s="2"/>
    </row>
    <row r="42">
      <c r="A42" s="7">
        <v>57.0</v>
      </c>
      <c r="B42" s="8">
        <f t="shared" si="1"/>
        <v>0.38</v>
      </c>
      <c r="C42" s="2">
        <f t="shared" si="2"/>
        <v>116.5293</v>
      </c>
      <c r="D42" s="8">
        <f t="shared" si="3"/>
        <v>0.776862</v>
      </c>
      <c r="E42" s="2">
        <f t="shared" si="4"/>
        <v>60</v>
      </c>
      <c r="F42" s="8">
        <f t="shared" si="5"/>
        <v>0.4</v>
      </c>
      <c r="G42" s="2"/>
      <c r="H42" s="2"/>
      <c r="I42" s="2"/>
    </row>
    <row r="43">
      <c r="A43" s="7">
        <v>31.0</v>
      </c>
      <c r="B43" s="8">
        <f t="shared" si="1"/>
        <v>0.2066666667</v>
      </c>
      <c r="C43" s="2">
        <f t="shared" si="2"/>
        <v>107.1719</v>
      </c>
      <c r="D43" s="8">
        <f t="shared" si="3"/>
        <v>0.7144793333</v>
      </c>
      <c r="E43" s="2">
        <f t="shared" si="4"/>
        <v>76</v>
      </c>
      <c r="F43" s="8">
        <f t="shared" si="5"/>
        <v>0.5066666667</v>
      </c>
      <c r="G43" s="2"/>
      <c r="H43" s="2"/>
      <c r="I43" s="2"/>
    </row>
    <row r="44">
      <c r="A44" s="7">
        <v>53.0</v>
      </c>
      <c r="B44" s="8">
        <f t="shared" si="1"/>
        <v>0.3533333333</v>
      </c>
      <c r="C44" s="2">
        <f t="shared" si="2"/>
        <v>115.0897</v>
      </c>
      <c r="D44" s="8">
        <f t="shared" si="3"/>
        <v>0.7672646667</v>
      </c>
      <c r="E44" s="2">
        <f t="shared" si="4"/>
        <v>62</v>
      </c>
      <c r="F44" s="8">
        <f t="shared" si="5"/>
        <v>0.4133333333</v>
      </c>
      <c r="G44" s="2"/>
      <c r="H44" s="2"/>
      <c r="I44" s="2"/>
    </row>
    <row r="45">
      <c r="A45" s="7">
        <v>63.0</v>
      </c>
      <c r="B45" s="8">
        <f t="shared" si="1"/>
        <v>0.42</v>
      </c>
      <c r="C45" s="2">
        <f t="shared" si="2"/>
        <v>118.6887</v>
      </c>
      <c r="D45" s="8">
        <f t="shared" si="3"/>
        <v>0.791258</v>
      </c>
      <c r="E45" s="2">
        <f t="shared" si="4"/>
        <v>56</v>
      </c>
      <c r="F45" s="8">
        <f t="shared" si="5"/>
        <v>0.3733333333</v>
      </c>
      <c r="G45" s="2"/>
      <c r="H45" s="2"/>
      <c r="I45" s="2"/>
    </row>
    <row r="46">
      <c r="A46" s="7">
        <v>75.0</v>
      </c>
      <c r="B46" s="8">
        <f t="shared" si="1"/>
        <v>0.5</v>
      </c>
      <c r="C46" s="2">
        <f t="shared" si="2"/>
        <v>123.0075</v>
      </c>
      <c r="D46" s="8">
        <f t="shared" si="3"/>
        <v>0.82005</v>
      </c>
      <c r="E46" s="2">
        <f t="shared" si="4"/>
        <v>48</v>
      </c>
      <c r="F46" s="8">
        <f t="shared" si="5"/>
        <v>0.32</v>
      </c>
      <c r="G46" s="2"/>
      <c r="H46" s="2"/>
      <c r="I46" s="2"/>
    </row>
    <row r="47">
      <c r="A47" s="7">
        <v>58.0</v>
      </c>
      <c r="B47" s="8">
        <f t="shared" si="1"/>
        <v>0.3866666667</v>
      </c>
      <c r="C47" s="2">
        <f t="shared" si="2"/>
        <v>116.8892</v>
      </c>
      <c r="D47" s="8">
        <f t="shared" si="3"/>
        <v>0.7792613333</v>
      </c>
      <c r="E47" s="2">
        <f t="shared" si="4"/>
        <v>59</v>
      </c>
      <c r="F47" s="8">
        <f t="shared" si="5"/>
        <v>0.3933333333</v>
      </c>
      <c r="G47" s="2"/>
      <c r="H47" s="2"/>
      <c r="I47" s="2"/>
    </row>
    <row r="48">
      <c r="A48" s="7">
        <v>73.5</v>
      </c>
      <c r="B48" s="8">
        <f t="shared" si="1"/>
        <v>0.49</v>
      </c>
      <c r="C48" s="2">
        <f t="shared" si="2"/>
        <v>122.46765</v>
      </c>
      <c r="D48" s="8">
        <f t="shared" si="3"/>
        <v>0.816451</v>
      </c>
      <c r="E48" s="2">
        <f t="shared" si="4"/>
        <v>49</v>
      </c>
      <c r="F48" s="8">
        <f t="shared" si="5"/>
        <v>0.3266666667</v>
      </c>
      <c r="G48" s="2"/>
      <c r="H48" s="2"/>
      <c r="I48" s="2"/>
    </row>
    <row r="49">
      <c r="A49" s="7">
        <v>53.0</v>
      </c>
      <c r="B49" s="8">
        <f t="shared" si="1"/>
        <v>0.3533333333</v>
      </c>
      <c r="C49" s="2">
        <f t="shared" si="2"/>
        <v>115.0897</v>
      </c>
      <c r="D49" s="8">
        <f t="shared" si="3"/>
        <v>0.7672646667</v>
      </c>
      <c r="E49" s="2">
        <f t="shared" si="4"/>
        <v>62</v>
      </c>
      <c r="F49" s="8">
        <f t="shared" si="5"/>
        <v>0.4133333333</v>
      </c>
      <c r="G49" s="2"/>
      <c r="H49" s="2"/>
      <c r="I49" s="2"/>
    </row>
    <row r="50">
      <c r="A50" s="7">
        <v>79.5</v>
      </c>
      <c r="B50" s="8">
        <f t="shared" si="1"/>
        <v>0.53</v>
      </c>
      <c r="C50" s="2">
        <f t="shared" si="2"/>
        <v>124.62705</v>
      </c>
      <c r="D50" s="8">
        <f t="shared" si="3"/>
        <v>0.830847</v>
      </c>
      <c r="E50" s="2">
        <f t="shared" si="4"/>
        <v>45</v>
      </c>
      <c r="F50" s="8">
        <f t="shared" si="5"/>
        <v>0.3</v>
      </c>
      <c r="G50" s="2"/>
      <c r="H50" s="2"/>
      <c r="I50" s="2"/>
    </row>
    <row r="51">
      <c r="A51" s="7">
        <v>9.0</v>
      </c>
      <c r="B51" s="8">
        <f t="shared" si="1"/>
        <v>0.06</v>
      </c>
      <c r="C51" s="2">
        <f t="shared" si="2"/>
        <v>99.2541</v>
      </c>
      <c r="D51" s="8">
        <f t="shared" si="3"/>
        <v>0.661694</v>
      </c>
      <c r="E51" s="2">
        <f t="shared" si="4"/>
        <v>90</v>
      </c>
      <c r="F51" s="8">
        <f t="shared" si="5"/>
        <v>0.6</v>
      </c>
      <c r="G51" s="2"/>
      <c r="H51" s="2"/>
      <c r="I51" s="2"/>
    </row>
    <row r="52">
      <c r="A52" s="7">
        <v>55.5</v>
      </c>
      <c r="B52" s="8">
        <f t="shared" si="1"/>
        <v>0.37</v>
      </c>
      <c r="C52" s="2">
        <f t="shared" si="2"/>
        <v>115.98945</v>
      </c>
      <c r="D52" s="8">
        <f t="shared" si="3"/>
        <v>0.773263</v>
      </c>
      <c r="E52" s="2">
        <f t="shared" si="4"/>
        <v>60</v>
      </c>
      <c r="F52" s="8">
        <f t="shared" si="5"/>
        <v>0.4</v>
      </c>
      <c r="G52" s="2"/>
      <c r="H52" s="2"/>
      <c r="I52" s="2"/>
    </row>
    <row r="53">
      <c r="A53" s="7">
        <v>49.0</v>
      </c>
      <c r="B53" s="8">
        <f t="shared" si="1"/>
        <v>0.3266666667</v>
      </c>
      <c r="C53" s="2">
        <f t="shared" si="2"/>
        <v>113.6501</v>
      </c>
      <c r="D53" s="8">
        <f t="shared" si="3"/>
        <v>0.7576673333</v>
      </c>
      <c r="E53" s="2">
        <f t="shared" si="4"/>
        <v>65</v>
      </c>
      <c r="F53" s="8">
        <f t="shared" si="5"/>
        <v>0.4333333333</v>
      </c>
      <c r="G53" s="2"/>
      <c r="H53" s="2"/>
      <c r="I53" s="2"/>
    </row>
    <row r="54">
      <c r="A54" s="7">
        <v>65.0</v>
      </c>
      <c r="B54" s="8">
        <f t="shared" si="1"/>
        <v>0.4333333333</v>
      </c>
      <c r="C54" s="2">
        <f t="shared" si="2"/>
        <v>119.4085</v>
      </c>
      <c r="D54" s="8">
        <f t="shared" si="3"/>
        <v>0.7960566667</v>
      </c>
      <c r="E54" s="2">
        <f t="shared" si="4"/>
        <v>54</v>
      </c>
      <c r="F54" s="8">
        <f t="shared" si="5"/>
        <v>0.36</v>
      </c>
      <c r="G54" s="2"/>
      <c r="H54" s="2"/>
      <c r="I54" s="2"/>
    </row>
    <row r="55">
      <c r="A55" s="7">
        <v>87.5</v>
      </c>
      <c r="B55" s="8">
        <f t="shared" si="1"/>
        <v>0.5833333333</v>
      </c>
      <c r="C55" s="2">
        <f t="shared" si="2"/>
        <v>127.50625</v>
      </c>
      <c r="D55" s="8">
        <f t="shared" si="3"/>
        <v>0.8500416667</v>
      </c>
      <c r="E55" s="2">
        <f t="shared" si="4"/>
        <v>40</v>
      </c>
      <c r="F55" s="8">
        <f t="shared" si="5"/>
        <v>0.2666666667</v>
      </c>
      <c r="G55" s="2"/>
      <c r="H55" s="2"/>
      <c r="I55" s="2"/>
    </row>
    <row r="56">
      <c r="A56" s="7">
        <v>57.0</v>
      </c>
      <c r="B56" s="8">
        <f t="shared" si="1"/>
        <v>0.38</v>
      </c>
      <c r="C56" s="2">
        <f t="shared" si="2"/>
        <v>116.5293</v>
      </c>
      <c r="D56" s="8">
        <f t="shared" si="3"/>
        <v>0.776862</v>
      </c>
      <c r="E56" s="2">
        <f t="shared" si="4"/>
        <v>60</v>
      </c>
      <c r="F56" s="8">
        <f t="shared" si="5"/>
        <v>0.4</v>
      </c>
      <c r="G56" s="2"/>
      <c r="H56" s="2"/>
      <c r="I56" s="2"/>
    </row>
    <row r="57">
      <c r="A57" s="7">
        <v>68.0</v>
      </c>
      <c r="B57" s="8">
        <f t="shared" si="1"/>
        <v>0.4533333333</v>
      </c>
      <c r="C57" s="2">
        <f t="shared" si="2"/>
        <v>120.4882</v>
      </c>
      <c r="D57" s="8">
        <f t="shared" si="3"/>
        <v>0.8032546667</v>
      </c>
      <c r="E57" s="2">
        <f t="shared" si="4"/>
        <v>52</v>
      </c>
      <c r="F57" s="8">
        <f t="shared" si="5"/>
        <v>0.3466666667</v>
      </c>
      <c r="G57" s="2"/>
      <c r="H57" s="2"/>
      <c r="I57" s="2"/>
    </row>
    <row r="58">
      <c r="A58" s="7">
        <v>34.0</v>
      </c>
      <c r="B58" s="8">
        <f t="shared" si="1"/>
        <v>0.2266666667</v>
      </c>
      <c r="C58" s="2">
        <f t="shared" si="2"/>
        <v>108.2516</v>
      </c>
      <c r="D58" s="8">
        <f t="shared" si="3"/>
        <v>0.7216773333</v>
      </c>
      <c r="E58" s="2">
        <f t="shared" si="4"/>
        <v>74</v>
      </c>
      <c r="F58" s="8">
        <f t="shared" si="5"/>
        <v>0.4933333333</v>
      </c>
      <c r="G58" s="2"/>
      <c r="H58" s="2"/>
      <c r="I58" s="2"/>
    </row>
    <row r="59">
      <c r="A59" s="7">
        <v>66.63</v>
      </c>
      <c r="B59" s="8">
        <f t="shared" si="1"/>
        <v>0.4442</v>
      </c>
      <c r="C59" s="2">
        <f t="shared" si="2"/>
        <v>119.995137</v>
      </c>
      <c r="D59" s="8">
        <f t="shared" si="3"/>
        <v>0.79996758</v>
      </c>
      <c r="E59" s="2">
        <f t="shared" si="4"/>
        <v>53</v>
      </c>
      <c r="F59" s="8">
        <f t="shared" si="5"/>
        <v>0.3533333333</v>
      </c>
      <c r="G59" s="2"/>
      <c r="H59" s="2"/>
      <c r="I59" s="2"/>
    </row>
    <row r="60">
      <c r="A60" s="2"/>
      <c r="B60" s="8"/>
      <c r="C60" s="2"/>
      <c r="D60" s="8"/>
      <c r="E60" s="2"/>
      <c r="F60" s="2"/>
      <c r="G60" s="2"/>
      <c r="H60" s="2"/>
      <c r="I60" s="2"/>
    </row>
    <row r="61">
      <c r="B61" s="9"/>
      <c r="D61" s="9"/>
    </row>
    <row r="96">
      <c r="A96" s="10" t="s">
        <v>9</v>
      </c>
      <c r="B96" s="11" t="s">
        <v>10</v>
      </c>
      <c r="C96" s="11" t="s">
        <v>11</v>
      </c>
      <c r="D96" s="11" t="s">
        <v>12</v>
      </c>
      <c r="E96" s="11" t="s">
        <v>13</v>
      </c>
      <c r="F96" s="11" t="s">
        <v>14</v>
      </c>
      <c r="G96" s="11" t="s">
        <v>15</v>
      </c>
      <c r="H96" s="11" t="s">
        <v>16</v>
      </c>
      <c r="I96" s="11" t="s">
        <v>17</v>
      </c>
      <c r="J96" s="11" t="s">
        <v>18</v>
      </c>
      <c r="K96" s="11" t="s">
        <v>19</v>
      </c>
      <c r="L96" s="11" t="s">
        <v>20</v>
      </c>
      <c r="M96" s="11" t="s">
        <v>21</v>
      </c>
      <c r="N96" s="11" t="s">
        <v>22</v>
      </c>
      <c r="O96" s="11" t="s">
        <v>23</v>
      </c>
      <c r="P96" s="11" t="s">
        <v>24</v>
      </c>
      <c r="Q96" s="11" t="s">
        <v>25</v>
      </c>
      <c r="R96" s="11" t="s">
        <v>26</v>
      </c>
      <c r="S96" s="11" t="s">
        <v>27</v>
      </c>
      <c r="T96" s="11" t="s">
        <v>28</v>
      </c>
    </row>
    <row r="97">
      <c r="B97" s="11">
        <v>2.0</v>
      </c>
      <c r="C97" s="11">
        <v>2.0</v>
      </c>
      <c r="D97" s="11">
        <v>0.0</v>
      </c>
      <c r="E97" s="11">
        <v>2.0</v>
      </c>
      <c r="F97" s="11">
        <v>2.0</v>
      </c>
      <c r="G97" s="11">
        <v>10.0</v>
      </c>
      <c r="H97" s="11">
        <v>10.0</v>
      </c>
      <c r="I97" s="11">
        <v>0.0</v>
      </c>
      <c r="J97" s="11">
        <v>10.0</v>
      </c>
      <c r="K97" s="11">
        <v>10.0</v>
      </c>
      <c r="L97" s="11">
        <v>0.0</v>
      </c>
      <c r="M97" s="11">
        <v>10.0</v>
      </c>
      <c r="N97" s="11">
        <v>0.0</v>
      </c>
      <c r="O97" s="11">
        <v>0.0</v>
      </c>
      <c r="P97" s="11">
        <v>10.0</v>
      </c>
      <c r="Q97" s="11">
        <v>10.0</v>
      </c>
      <c r="R97" s="11">
        <v>0.0</v>
      </c>
      <c r="S97" s="11">
        <v>10.0</v>
      </c>
      <c r="T97" s="11">
        <v>9.0</v>
      </c>
    </row>
    <row r="98">
      <c r="B98" s="11">
        <v>0.0</v>
      </c>
      <c r="C98" s="11">
        <v>2.0</v>
      </c>
      <c r="D98" s="11">
        <v>0.0</v>
      </c>
      <c r="E98" s="11">
        <v>2.0</v>
      </c>
      <c r="F98" s="11">
        <v>2.0</v>
      </c>
      <c r="G98" s="11">
        <v>0.0</v>
      </c>
      <c r="H98" s="11">
        <v>10.0</v>
      </c>
      <c r="I98" s="11">
        <v>0.0</v>
      </c>
      <c r="J98" s="11">
        <v>0.0</v>
      </c>
      <c r="K98" s="11">
        <v>0.0</v>
      </c>
      <c r="L98" s="11">
        <v>10.0</v>
      </c>
      <c r="M98" s="11">
        <v>10.0</v>
      </c>
      <c r="N98" s="11">
        <v>0.0</v>
      </c>
      <c r="O98" s="11">
        <v>10.0</v>
      </c>
      <c r="P98" s="11">
        <v>0.0</v>
      </c>
      <c r="Q98" s="11">
        <v>0.0</v>
      </c>
      <c r="R98" s="11">
        <v>10.0</v>
      </c>
      <c r="S98" s="11">
        <v>0.0</v>
      </c>
      <c r="T98" s="11">
        <v>9.5</v>
      </c>
    </row>
    <row r="99">
      <c r="B99" s="11">
        <v>2.0</v>
      </c>
      <c r="C99" s="11">
        <v>2.0</v>
      </c>
      <c r="D99" s="11">
        <v>0.0</v>
      </c>
      <c r="E99" s="11">
        <v>2.0</v>
      </c>
      <c r="F99" s="11">
        <v>2.0</v>
      </c>
      <c r="G99" s="11">
        <v>10.0</v>
      </c>
      <c r="H99" s="11">
        <v>10.0</v>
      </c>
      <c r="I99" s="11">
        <v>10.0</v>
      </c>
      <c r="J99" s="11">
        <v>7.5</v>
      </c>
      <c r="K99" s="11">
        <v>0.0</v>
      </c>
      <c r="L99" s="11">
        <v>10.0</v>
      </c>
      <c r="M99" s="11">
        <v>10.0</v>
      </c>
      <c r="N99" s="11">
        <v>10.0</v>
      </c>
      <c r="O99" s="11">
        <v>10.0</v>
      </c>
      <c r="P99" s="11">
        <v>10.0</v>
      </c>
      <c r="Q99" s="11">
        <v>10.0</v>
      </c>
      <c r="R99" s="11">
        <v>10.0</v>
      </c>
      <c r="S99" s="11">
        <v>10.0</v>
      </c>
      <c r="T99" s="11">
        <v>9.0</v>
      </c>
    </row>
    <row r="100">
      <c r="B100" s="11">
        <v>2.0</v>
      </c>
      <c r="C100" s="11">
        <v>0.0</v>
      </c>
      <c r="D100" s="11">
        <v>0.0</v>
      </c>
      <c r="E100" s="11">
        <v>0.0</v>
      </c>
      <c r="F100" s="11">
        <v>0.0</v>
      </c>
      <c r="G100" s="11">
        <v>0.0</v>
      </c>
      <c r="H100" s="11">
        <v>0.0</v>
      </c>
      <c r="I100" s="11">
        <v>0.0</v>
      </c>
      <c r="J100" s="11">
        <v>0.0</v>
      </c>
      <c r="K100" s="11">
        <v>0.0</v>
      </c>
      <c r="L100" s="11">
        <v>0.0</v>
      </c>
      <c r="M100" s="11">
        <v>0.0</v>
      </c>
      <c r="N100" s="11">
        <v>0.0</v>
      </c>
      <c r="O100" s="11">
        <v>0.0</v>
      </c>
      <c r="P100" s="11">
        <v>0.0</v>
      </c>
      <c r="Q100" s="11">
        <v>10.0</v>
      </c>
      <c r="R100" s="11">
        <v>0.0</v>
      </c>
      <c r="S100" s="11">
        <v>0.0</v>
      </c>
      <c r="T100" s="11">
        <v>9.0</v>
      </c>
    </row>
    <row r="101">
      <c r="B101" s="11">
        <v>2.0</v>
      </c>
      <c r="C101" s="11">
        <v>0.0</v>
      </c>
      <c r="D101" s="11">
        <v>2.0</v>
      </c>
      <c r="E101" s="11">
        <v>2.0</v>
      </c>
      <c r="F101" s="11">
        <v>2.0</v>
      </c>
      <c r="G101" s="11">
        <v>0.0</v>
      </c>
      <c r="H101" s="11">
        <v>0.0</v>
      </c>
      <c r="I101" s="11">
        <v>0.0</v>
      </c>
      <c r="J101" s="11">
        <v>10.0</v>
      </c>
      <c r="K101" s="11">
        <v>10.0</v>
      </c>
      <c r="L101" s="11">
        <v>10.0</v>
      </c>
      <c r="M101" s="11">
        <v>10.0</v>
      </c>
      <c r="N101" s="11">
        <v>10.0</v>
      </c>
      <c r="O101" s="11">
        <v>0.0</v>
      </c>
      <c r="P101" s="11">
        <v>10.0</v>
      </c>
      <c r="Q101" s="11">
        <v>0.0</v>
      </c>
      <c r="R101" s="11">
        <v>10.0</v>
      </c>
      <c r="S101" s="11">
        <v>10.0</v>
      </c>
      <c r="T101" s="11">
        <v>9.5</v>
      </c>
    </row>
    <row r="102">
      <c r="B102" s="11">
        <v>0.0</v>
      </c>
      <c r="C102" s="11">
        <v>0.0</v>
      </c>
      <c r="D102" s="11">
        <v>2.0</v>
      </c>
      <c r="E102" s="11">
        <v>2.0</v>
      </c>
      <c r="F102" s="11">
        <v>0.0</v>
      </c>
      <c r="G102" s="11">
        <v>10.0</v>
      </c>
      <c r="H102" s="11">
        <v>0.0</v>
      </c>
      <c r="I102" s="11">
        <v>0.0</v>
      </c>
      <c r="J102" s="11">
        <v>10.0</v>
      </c>
      <c r="K102" s="11">
        <v>0.0</v>
      </c>
      <c r="L102" s="11">
        <v>0.0</v>
      </c>
      <c r="M102" s="11">
        <v>10.0</v>
      </c>
      <c r="N102" s="11">
        <v>0.0</v>
      </c>
      <c r="O102" s="11">
        <v>0.0</v>
      </c>
      <c r="P102" s="11">
        <v>10.0</v>
      </c>
      <c r="Q102" s="11">
        <v>0.0</v>
      </c>
      <c r="R102" s="11">
        <v>10.0</v>
      </c>
      <c r="S102" s="11">
        <v>0.0</v>
      </c>
      <c r="T102" s="11">
        <v>9.0</v>
      </c>
    </row>
    <row r="103">
      <c r="B103" s="11">
        <v>0.0</v>
      </c>
      <c r="C103" s="11">
        <v>0.0</v>
      </c>
      <c r="D103" s="11">
        <v>0.0</v>
      </c>
      <c r="E103" s="11">
        <v>2.0</v>
      </c>
      <c r="F103" s="11">
        <v>0.0</v>
      </c>
      <c r="G103" s="11">
        <v>0.0</v>
      </c>
      <c r="H103" s="11">
        <v>0.0</v>
      </c>
      <c r="I103" s="11">
        <v>0.0</v>
      </c>
      <c r="J103" s="11">
        <v>10.0</v>
      </c>
      <c r="K103" s="11">
        <v>10.0</v>
      </c>
      <c r="L103" s="11">
        <v>0.0</v>
      </c>
      <c r="M103" s="11">
        <v>10.0</v>
      </c>
      <c r="N103" s="11">
        <v>10.0</v>
      </c>
      <c r="O103" s="11">
        <v>10.0</v>
      </c>
      <c r="P103" s="11">
        <v>0.0</v>
      </c>
      <c r="Q103" s="11">
        <v>0.0</v>
      </c>
      <c r="R103" s="11">
        <v>0.0</v>
      </c>
      <c r="S103" s="11">
        <v>0.0</v>
      </c>
      <c r="T103" s="11">
        <v>9.0</v>
      </c>
    </row>
    <row r="104">
      <c r="B104" s="11">
        <v>2.0</v>
      </c>
      <c r="C104" s="11">
        <v>2.0</v>
      </c>
      <c r="D104" s="11">
        <v>0.0</v>
      </c>
      <c r="E104" s="11">
        <v>2.0</v>
      </c>
      <c r="F104" s="11">
        <v>2.0</v>
      </c>
      <c r="G104" s="11">
        <v>0.0</v>
      </c>
      <c r="H104" s="11">
        <v>10.0</v>
      </c>
      <c r="I104" s="11">
        <v>0.0</v>
      </c>
      <c r="J104" s="11">
        <v>0.0</v>
      </c>
      <c r="K104" s="11">
        <v>10.0</v>
      </c>
      <c r="L104" s="11">
        <v>0.0</v>
      </c>
      <c r="M104" s="11">
        <v>10.0</v>
      </c>
      <c r="N104" s="11">
        <v>10.0</v>
      </c>
      <c r="O104" s="11">
        <v>10.0</v>
      </c>
      <c r="P104" s="11">
        <v>0.0</v>
      </c>
      <c r="Q104" s="11">
        <v>0.0</v>
      </c>
      <c r="R104" s="11">
        <v>10.0</v>
      </c>
      <c r="S104" s="11">
        <v>0.0</v>
      </c>
      <c r="T104" s="11">
        <v>9.5</v>
      </c>
    </row>
    <row r="105">
      <c r="B105" s="11">
        <v>0.0</v>
      </c>
      <c r="C105" s="11">
        <v>2.0</v>
      </c>
      <c r="D105" s="11">
        <v>0.0</v>
      </c>
      <c r="E105" s="11">
        <v>2.0</v>
      </c>
      <c r="F105" s="11">
        <v>0.0</v>
      </c>
      <c r="G105" s="11">
        <v>0.0</v>
      </c>
      <c r="H105" s="11">
        <v>0.0</v>
      </c>
      <c r="I105" s="11">
        <v>0.0</v>
      </c>
      <c r="J105" s="11">
        <v>10.0</v>
      </c>
      <c r="K105" s="11">
        <v>0.0</v>
      </c>
      <c r="L105" s="11">
        <v>0.0</v>
      </c>
      <c r="M105" s="11">
        <v>10.0</v>
      </c>
      <c r="N105" s="11">
        <v>0.0</v>
      </c>
      <c r="O105" s="11">
        <v>0.0</v>
      </c>
      <c r="P105" s="11">
        <v>0.0</v>
      </c>
      <c r="Q105" s="11">
        <v>10.0</v>
      </c>
      <c r="R105" s="11">
        <v>0.0</v>
      </c>
      <c r="S105" s="11">
        <v>10.0</v>
      </c>
      <c r="T105" s="11">
        <v>9.0</v>
      </c>
    </row>
    <row r="106">
      <c r="B106" s="11">
        <v>2.0</v>
      </c>
      <c r="C106" s="11">
        <v>2.0</v>
      </c>
      <c r="D106" s="11">
        <v>0.0</v>
      </c>
      <c r="E106" s="11">
        <v>2.0</v>
      </c>
      <c r="F106" s="11">
        <v>2.0</v>
      </c>
      <c r="G106" s="11">
        <v>0.0</v>
      </c>
      <c r="H106" s="11">
        <v>10.0</v>
      </c>
      <c r="I106" s="11">
        <v>0.0</v>
      </c>
      <c r="J106" s="11">
        <v>2.5</v>
      </c>
      <c r="K106" s="11">
        <v>0.0</v>
      </c>
      <c r="L106" s="11">
        <v>10.0</v>
      </c>
      <c r="M106" s="11">
        <v>0.0</v>
      </c>
      <c r="N106" s="11">
        <v>0.0</v>
      </c>
      <c r="O106" s="11">
        <v>0.0</v>
      </c>
      <c r="P106" s="11">
        <v>0.0</v>
      </c>
      <c r="Q106" s="11">
        <v>0.0</v>
      </c>
      <c r="R106" s="11">
        <v>0.0</v>
      </c>
      <c r="S106" s="11">
        <v>0.0</v>
      </c>
      <c r="T106" s="11">
        <v>9.5</v>
      </c>
    </row>
    <row r="107">
      <c r="B107" s="11">
        <v>0.0</v>
      </c>
      <c r="C107" s="11">
        <v>2.0</v>
      </c>
      <c r="D107" s="11">
        <v>2.0</v>
      </c>
      <c r="E107" s="11">
        <v>0.0</v>
      </c>
      <c r="F107" s="11">
        <v>2.0</v>
      </c>
      <c r="G107" s="11">
        <v>0.0</v>
      </c>
      <c r="H107" s="11">
        <v>0.0</v>
      </c>
      <c r="I107" s="11">
        <v>0.0</v>
      </c>
      <c r="J107" s="11">
        <v>5.0</v>
      </c>
      <c r="K107" s="11">
        <v>0.0</v>
      </c>
      <c r="L107" s="11">
        <v>10.0</v>
      </c>
      <c r="M107" s="11">
        <v>10.0</v>
      </c>
      <c r="N107" s="11">
        <v>0.0</v>
      </c>
      <c r="O107" s="11">
        <v>0.0</v>
      </c>
      <c r="P107" s="11">
        <v>0.0</v>
      </c>
      <c r="Q107" s="11">
        <v>0.0</v>
      </c>
      <c r="R107" s="11">
        <v>0.0</v>
      </c>
      <c r="S107" s="11">
        <v>10.0</v>
      </c>
      <c r="T107" s="11">
        <v>9.0</v>
      </c>
    </row>
    <row r="108">
      <c r="B108" s="11">
        <v>2.0</v>
      </c>
      <c r="C108" s="11">
        <v>2.0</v>
      </c>
      <c r="D108" s="11">
        <v>0.0</v>
      </c>
      <c r="E108" s="11">
        <v>0.0</v>
      </c>
      <c r="F108" s="11">
        <v>0.0</v>
      </c>
      <c r="G108" s="11">
        <v>10.0</v>
      </c>
      <c r="H108" s="11">
        <v>0.0</v>
      </c>
      <c r="I108" s="11">
        <v>10.0</v>
      </c>
      <c r="J108" s="11">
        <v>10.0</v>
      </c>
      <c r="K108" s="11">
        <v>0.0</v>
      </c>
      <c r="L108" s="11">
        <v>10.0</v>
      </c>
      <c r="M108" s="11">
        <v>10.0</v>
      </c>
      <c r="N108" s="11">
        <v>10.0</v>
      </c>
      <c r="O108" s="11">
        <v>0.0</v>
      </c>
      <c r="P108" s="11">
        <v>10.0</v>
      </c>
      <c r="Q108" s="11">
        <v>10.0</v>
      </c>
      <c r="R108" s="11">
        <v>10.0</v>
      </c>
      <c r="S108" s="11">
        <v>0.0</v>
      </c>
      <c r="T108" s="11">
        <v>9.0</v>
      </c>
    </row>
    <row r="109">
      <c r="B109" s="11">
        <v>2.0</v>
      </c>
      <c r="C109" s="11">
        <v>2.0</v>
      </c>
      <c r="D109" s="11">
        <v>0.0</v>
      </c>
      <c r="E109" s="11">
        <v>2.0</v>
      </c>
      <c r="F109" s="11">
        <v>2.0</v>
      </c>
      <c r="G109" s="11">
        <v>0.0</v>
      </c>
      <c r="H109" s="11">
        <v>0.0</v>
      </c>
      <c r="I109" s="11">
        <v>0.0</v>
      </c>
      <c r="J109" s="11">
        <v>10.0</v>
      </c>
      <c r="K109" s="11">
        <v>10.0</v>
      </c>
      <c r="L109" s="11">
        <v>0.0</v>
      </c>
      <c r="M109" s="11">
        <v>10.0</v>
      </c>
      <c r="N109" s="11">
        <v>0.0</v>
      </c>
      <c r="O109" s="11">
        <v>10.0</v>
      </c>
      <c r="P109" s="11">
        <v>0.0</v>
      </c>
      <c r="Q109" s="11">
        <v>10.0</v>
      </c>
      <c r="R109" s="11">
        <v>0.0</v>
      </c>
      <c r="S109" s="11">
        <v>0.0</v>
      </c>
      <c r="T109" s="11">
        <v>9.0</v>
      </c>
    </row>
    <row r="110">
      <c r="B110" s="11">
        <v>2.0</v>
      </c>
      <c r="C110" s="11">
        <v>0.0</v>
      </c>
      <c r="D110" s="11">
        <v>0.0</v>
      </c>
      <c r="E110" s="11">
        <v>2.0</v>
      </c>
      <c r="F110" s="11">
        <v>2.0</v>
      </c>
      <c r="G110" s="11">
        <v>0.0</v>
      </c>
      <c r="H110" s="11">
        <v>0.0</v>
      </c>
      <c r="I110" s="11">
        <v>0.0</v>
      </c>
      <c r="J110" s="11">
        <v>10.0</v>
      </c>
      <c r="K110" s="11">
        <v>10.0</v>
      </c>
      <c r="L110" s="11">
        <v>0.0</v>
      </c>
      <c r="M110" s="11">
        <v>10.0</v>
      </c>
      <c r="N110" s="11">
        <v>0.0</v>
      </c>
      <c r="O110" s="11">
        <v>10.0</v>
      </c>
      <c r="P110" s="11">
        <v>0.0</v>
      </c>
      <c r="Q110" s="11">
        <v>10.0</v>
      </c>
      <c r="R110" s="11">
        <v>0.0</v>
      </c>
      <c r="S110" s="11">
        <v>0.0</v>
      </c>
      <c r="T110" s="11">
        <v>9.5</v>
      </c>
    </row>
    <row r="111">
      <c r="B111" s="11">
        <v>0.0</v>
      </c>
      <c r="C111" s="11">
        <v>0.0</v>
      </c>
      <c r="D111" s="11">
        <v>0.0</v>
      </c>
      <c r="E111" s="11">
        <v>2.0</v>
      </c>
      <c r="F111" s="11">
        <v>2.0</v>
      </c>
      <c r="G111" s="11">
        <v>10.0</v>
      </c>
      <c r="H111" s="11">
        <v>10.0</v>
      </c>
      <c r="I111" s="11">
        <v>0.0</v>
      </c>
      <c r="J111" s="11">
        <v>10.0</v>
      </c>
      <c r="K111" s="11">
        <v>0.0</v>
      </c>
      <c r="L111" s="11">
        <v>0.0</v>
      </c>
      <c r="M111" s="11">
        <v>10.0</v>
      </c>
      <c r="N111" s="11">
        <v>10.0</v>
      </c>
      <c r="O111" s="11">
        <v>0.0</v>
      </c>
      <c r="P111" s="11">
        <v>10.0</v>
      </c>
      <c r="Q111" s="11">
        <v>0.0</v>
      </c>
      <c r="R111" s="11">
        <v>0.0</v>
      </c>
      <c r="S111" s="11">
        <v>0.0</v>
      </c>
      <c r="T111" s="11">
        <v>9.5</v>
      </c>
    </row>
    <row r="112">
      <c r="B112" s="11">
        <v>2.0</v>
      </c>
      <c r="C112" s="11">
        <v>2.0</v>
      </c>
      <c r="D112" s="11">
        <v>0.0</v>
      </c>
      <c r="E112" s="11">
        <v>2.0</v>
      </c>
      <c r="F112" s="11">
        <v>2.0</v>
      </c>
      <c r="G112" s="11">
        <v>0.0</v>
      </c>
      <c r="H112" s="11">
        <v>10.0</v>
      </c>
      <c r="I112" s="11">
        <v>0.0</v>
      </c>
      <c r="J112" s="11">
        <v>7.5</v>
      </c>
      <c r="K112" s="11">
        <v>0.0</v>
      </c>
      <c r="L112" s="11">
        <v>0.0</v>
      </c>
      <c r="M112" s="11">
        <v>10.0</v>
      </c>
      <c r="N112" s="11">
        <v>0.0</v>
      </c>
      <c r="O112" s="11">
        <v>0.0</v>
      </c>
      <c r="P112" s="11">
        <v>0.0</v>
      </c>
      <c r="Q112" s="11">
        <v>10.0</v>
      </c>
      <c r="R112" s="11">
        <v>10.0</v>
      </c>
      <c r="S112" s="11">
        <v>0.0</v>
      </c>
      <c r="T112" s="11">
        <v>9.0</v>
      </c>
    </row>
    <row r="113">
      <c r="B113" s="11">
        <v>2.0</v>
      </c>
      <c r="C113" s="11">
        <v>2.0</v>
      </c>
      <c r="D113" s="11">
        <v>0.0</v>
      </c>
      <c r="E113" s="11">
        <v>2.0</v>
      </c>
      <c r="F113" s="11">
        <v>2.0</v>
      </c>
      <c r="G113" s="11">
        <v>0.0</v>
      </c>
      <c r="H113" s="11">
        <v>10.0</v>
      </c>
      <c r="I113" s="11">
        <v>0.0</v>
      </c>
      <c r="J113" s="11">
        <v>7.5</v>
      </c>
      <c r="K113" s="11">
        <v>0.0</v>
      </c>
      <c r="L113" s="11">
        <v>0.0</v>
      </c>
      <c r="M113" s="11">
        <v>0.0</v>
      </c>
      <c r="N113" s="11">
        <v>10.0</v>
      </c>
      <c r="O113" s="11">
        <v>0.0</v>
      </c>
      <c r="P113" s="11">
        <v>10.0</v>
      </c>
      <c r="Q113" s="11">
        <v>0.0</v>
      </c>
      <c r="R113" s="11">
        <v>10.0</v>
      </c>
      <c r="S113" s="11">
        <v>10.0</v>
      </c>
      <c r="T113" s="11">
        <v>9.5</v>
      </c>
    </row>
    <row r="114">
      <c r="B114" s="11">
        <v>0.0</v>
      </c>
      <c r="C114" s="11">
        <v>2.0</v>
      </c>
      <c r="D114" s="11">
        <v>2.0</v>
      </c>
      <c r="E114" s="11">
        <v>2.0</v>
      </c>
      <c r="F114" s="11">
        <v>2.0</v>
      </c>
      <c r="G114" s="11">
        <v>0.0</v>
      </c>
      <c r="H114" s="11">
        <v>0.0</v>
      </c>
      <c r="I114" s="11">
        <v>0.0</v>
      </c>
      <c r="J114" s="11">
        <v>10.0</v>
      </c>
      <c r="K114" s="11">
        <v>0.0</v>
      </c>
      <c r="L114" s="11">
        <v>0.0</v>
      </c>
      <c r="M114" s="11">
        <v>0.0</v>
      </c>
      <c r="N114" s="11">
        <v>0.0</v>
      </c>
      <c r="O114" s="11">
        <v>0.0</v>
      </c>
      <c r="P114" s="11">
        <v>10.0</v>
      </c>
      <c r="Q114" s="11">
        <v>0.0</v>
      </c>
      <c r="R114" s="11">
        <v>10.0</v>
      </c>
      <c r="S114" s="11">
        <v>0.0</v>
      </c>
      <c r="T114" s="11">
        <v>8.0</v>
      </c>
    </row>
    <row r="115">
      <c r="B115" s="11">
        <v>2.0</v>
      </c>
      <c r="C115" s="11">
        <v>2.0</v>
      </c>
      <c r="D115" s="11">
        <v>2.0</v>
      </c>
      <c r="E115" s="11">
        <v>2.0</v>
      </c>
      <c r="F115" s="11">
        <v>0.0</v>
      </c>
      <c r="G115" s="11">
        <v>10.0</v>
      </c>
      <c r="H115" s="11">
        <v>0.0</v>
      </c>
      <c r="I115" s="11">
        <v>0.0</v>
      </c>
      <c r="J115" s="11">
        <v>0.0</v>
      </c>
      <c r="K115" s="11">
        <v>0.0</v>
      </c>
      <c r="L115" s="11">
        <v>0.0</v>
      </c>
      <c r="M115" s="11">
        <v>10.0</v>
      </c>
      <c r="N115" s="11">
        <v>0.0</v>
      </c>
      <c r="O115" s="11">
        <v>0.0</v>
      </c>
      <c r="P115" s="11">
        <v>0.0</v>
      </c>
      <c r="Q115" s="11">
        <v>10.0</v>
      </c>
      <c r="R115" s="11">
        <v>0.0</v>
      </c>
      <c r="S115" s="11">
        <v>0.0</v>
      </c>
      <c r="T115" s="11">
        <v>8.0</v>
      </c>
    </row>
    <row r="116">
      <c r="B116" s="11">
        <v>2.0</v>
      </c>
      <c r="C116" s="11">
        <v>2.0</v>
      </c>
      <c r="D116" s="11">
        <v>0.0</v>
      </c>
      <c r="E116" s="11">
        <v>2.0</v>
      </c>
      <c r="F116" s="11">
        <v>2.0</v>
      </c>
      <c r="G116" s="11">
        <v>0.0</v>
      </c>
      <c r="H116" s="11">
        <v>10.0</v>
      </c>
      <c r="I116" s="11">
        <v>0.0</v>
      </c>
      <c r="J116" s="11">
        <v>10.0</v>
      </c>
      <c r="K116" s="11">
        <v>10.0</v>
      </c>
      <c r="L116" s="11">
        <v>10.0</v>
      </c>
      <c r="M116" s="11">
        <v>10.0</v>
      </c>
      <c r="N116" s="11">
        <v>10.0</v>
      </c>
      <c r="O116" s="11">
        <v>0.0</v>
      </c>
      <c r="P116" s="11">
        <v>10.0</v>
      </c>
      <c r="Q116" s="11">
        <v>0.0</v>
      </c>
      <c r="R116" s="11">
        <v>0.0</v>
      </c>
      <c r="S116" s="11">
        <v>0.0</v>
      </c>
      <c r="T116" s="11">
        <v>9.0</v>
      </c>
    </row>
    <row r="117">
      <c r="B117" s="11">
        <v>2.0</v>
      </c>
      <c r="C117" s="11">
        <v>2.0</v>
      </c>
      <c r="D117" s="11">
        <v>2.0</v>
      </c>
      <c r="E117" s="11">
        <v>2.0</v>
      </c>
      <c r="F117" s="11">
        <v>2.0</v>
      </c>
      <c r="G117" s="11">
        <v>0.0</v>
      </c>
      <c r="H117" s="11">
        <v>10.0</v>
      </c>
      <c r="I117" s="11">
        <v>10.0</v>
      </c>
      <c r="J117" s="11">
        <v>10.0</v>
      </c>
      <c r="K117" s="11">
        <v>10.0</v>
      </c>
      <c r="L117" s="11">
        <v>10.0</v>
      </c>
      <c r="M117" s="11">
        <v>10.0</v>
      </c>
      <c r="N117" s="11">
        <v>10.0</v>
      </c>
      <c r="O117" s="11">
        <v>10.0</v>
      </c>
      <c r="P117" s="11">
        <v>10.0</v>
      </c>
      <c r="Q117" s="11">
        <v>10.0</v>
      </c>
      <c r="R117" s="11">
        <v>10.0</v>
      </c>
      <c r="S117" s="11">
        <v>0.0</v>
      </c>
      <c r="T117" s="11">
        <v>9.5</v>
      </c>
    </row>
    <row r="118">
      <c r="B118" s="11">
        <v>2.0</v>
      </c>
      <c r="C118" s="11">
        <v>0.0</v>
      </c>
      <c r="D118" s="11">
        <v>0.0</v>
      </c>
      <c r="E118" s="11">
        <v>0.0</v>
      </c>
      <c r="F118" s="11">
        <v>2.0</v>
      </c>
      <c r="G118" s="11">
        <v>10.0</v>
      </c>
      <c r="H118" s="11">
        <v>10.0</v>
      </c>
      <c r="I118" s="11">
        <v>10.0</v>
      </c>
      <c r="J118" s="11">
        <v>0.0</v>
      </c>
      <c r="K118" s="11">
        <v>10.0</v>
      </c>
      <c r="L118" s="11">
        <v>0.0</v>
      </c>
      <c r="M118" s="11">
        <v>10.0</v>
      </c>
      <c r="N118" s="11">
        <v>10.0</v>
      </c>
      <c r="O118" s="11">
        <v>0.0</v>
      </c>
      <c r="P118" s="11">
        <v>0.0</v>
      </c>
      <c r="Q118" s="11">
        <v>10.0</v>
      </c>
      <c r="R118" s="11">
        <v>0.0</v>
      </c>
      <c r="S118" s="11">
        <v>10.0</v>
      </c>
      <c r="T118" s="11">
        <v>9.0</v>
      </c>
    </row>
    <row r="119">
      <c r="B119" s="11">
        <v>2.0</v>
      </c>
      <c r="C119" s="11">
        <v>2.0</v>
      </c>
      <c r="D119" s="11">
        <v>0.0</v>
      </c>
      <c r="E119" s="11">
        <v>2.0</v>
      </c>
      <c r="F119" s="11">
        <v>0.0</v>
      </c>
      <c r="G119" s="11">
        <v>0.0</v>
      </c>
      <c r="H119" s="11">
        <v>10.0</v>
      </c>
      <c r="I119" s="11">
        <v>0.0</v>
      </c>
      <c r="J119" s="11">
        <v>7.5</v>
      </c>
      <c r="K119" s="11">
        <v>0.0</v>
      </c>
      <c r="L119" s="11">
        <v>10.0</v>
      </c>
      <c r="M119" s="11">
        <v>10.0</v>
      </c>
      <c r="N119" s="11">
        <v>0.0</v>
      </c>
      <c r="O119" s="11">
        <v>0.0</v>
      </c>
      <c r="P119" s="11">
        <v>10.0</v>
      </c>
      <c r="Q119" s="11">
        <v>0.0</v>
      </c>
      <c r="R119" s="11">
        <v>0.0</v>
      </c>
      <c r="S119" s="11">
        <v>0.0</v>
      </c>
      <c r="T119" s="11">
        <v>9.5</v>
      </c>
    </row>
    <row r="120">
      <c r="B120" s="11">
        <v>2.0</v>
      </c>
      <c r="C120" s="11">
        <v>2.0</v>
      </c>
      <c r="D120" s="11">
        <v>2.0</v>
      </c>
      <c r="E120" s="11">
        <v>2.0</v>
      </c>
      <c r="F120" s="11">
        <v>2.0</v>
      </c>
      <c r="G120" s="11">
        <v>10.0</v>
      </c>
      <c r="H120" s="11">
        <v>10.0</v>
      </c>
      <c r="I120" s="11">
        <v>0.0</v>
      </c>
      <c r="J120" s="11">
        <v>7.5</v>
      </c>
      <c r="K120" s="11">
        <v>0.0</v>
      </c>
      <c r="L120" s="11">
        <v>10.0</v>
      </c>
      <c r="M120" s="11">
        <v>10.0</v>
      </c>
      <c r="N120" s="11">
        <v>10.0</v>
      </c>
      <c r="O120" s="11">
        <v>10.0</v>
      </c>
      <c r="P120" s="11">
        <v>10.0</v>
      </c>
      <c r="Q120" s="11">
        <v>10.0</v>
      </c>
      <c r="R120" s="11">
        <v>10.0</v>
      </c>
      <c r="S120" s="11">
        <v>10.0</v>
      </c>
      <c r="T120" s="11">
        <v>9.5</v>
      </c>
    </row>
    <row r="121">
      <c r="B121" s="11">
        <v>2.0</v>
      </c>
      <c r="C121" s="11">
        <v>2.0</v>
      </c>
      <c r="D121" s="11">
        <v>0.0</v>
      </c>
      <c r="E121" s="11">
        <v>0.0</v>
      </c>
      <c r="F121" s="11">
        <v>0.0</v>
      </c>
      <c r="G121" s="11">
        <v>0.0</v>
      </c>
      <c r="H121" s="11">
        <v>0.0</v>
      </c>
      <c r="I121" s="11">
        <v>0.0</v>
      </c>
      <c r="J121" s="11">
        <v>10.0</v>
      </c>
      <c r="K121" s="11">
        <v>0.0</v>
      </c>
      <c r="L121" s="11">
        <v>10.0</v>
      </c>
      <c r="M121" s="11">
        <v>10.0</v>
      </c>
      <c r="N121" s="11">
        <v>10.0</v>
      </c>
      <c r="O121" s="11">
        <v>10.0</v>
      </c>
      <c r="P121" s="11">
        <v>10.0</v>
      </c>
      <c r="Q121" s="11">
        <v>0.0</v>
      </c>
      <c r="R121" s="11">
        <v>10.0</v>
      </c>
      <c r="S121" s="11">
        <v>0.0</v>
      </c>
      <c r="T121" s="11">
        <v>9.0</v>
      </c>
    </row>
    <row r="122">
      <c r="B122" s="11">
        <v>2.0</v>
      </c>
      <c r="C122" s="11">
        <v>2.0</v>
      </c>
      <c r="D122" s="11">
        <v>0.0</v>
      </c>
      <c r="E122" s="11">
        <v>2.0</v>
      </c>
      <c r="F122" s="11">
        <v>0.0</v>
      </c>
      <c r="G122" s="11">
        <v>0.0</v>
      </c>
      <c r="H122" s="11">
        <v>0.0</v>
      </c>
      <c r="I122" s="11">
        <v>0.0</v>
      </c>
      <c r="J122" s="11">
        <v>10.0</v>
      </c>
      <c r="K122" s="11">
        <v>0.0</v>
      </c>
      <c r="L122" s="11">
        <v>0.0</v>
      </c>
      <c r="M122" s="11">
        <v>10.0</v>
      </c>
      <c r="N122" s="11">
        <v>0.0</v>
      </c>
      <c r="O122" s="11">
        <v>0.0</v>
      </c>
      <c r="P122" s="11">
        <v>0.0</v>
      </c>
      <c r="Q122" s="11">
        <v>0.0</v>
      </c>
      <c r="R122" s="11">
        <v>0.0</v>
      </c>
      <c r="S122" s="11">
        <v>0.0</v>
      </c>
      <c r="T122" s="11">
        <v>9.0</v>
      </c>
    </row>
    <row r="123">
      <c r="B123" s="11">
        <v>2.0</v>
      </c>
      <c r="C123" s="11">
        <v>2.0</v>
      </c>
      <c r="D123" s="11">
        <v>0.0</v>
      </c>
      <c r="E123" s="11">
        <v>2.0</v>
      </c>
      <c r="F123" s="11">
        <v>2.0</v>
      </c>
      <c r="G123" s="11">
        <v>0.0</v>
      </c>
      <c r="H123" s="11">
        <v>10.0</v>
      </c>
      <c r="I123" s="11">
        <v>0.0</v>
      </c>
      <c r="J123" s="11">
        <v>10.0</v>
      </c>
      <c r="K123" s="11">
        <v>0.0</v>
      </c>
      <c r="L123" s="11">
        <v>0.0</v>
      </c>
      <c r="M123" s="11">
        <v>10.0</v>
      </c>
      <c r="N123" s="11">
        <v>10.0</v>
      </c>
      <c r="O123" s="11">
        <v>10.0</v>
      </c>
      <c r="P123" s="11">
        <v>10.0</v>
      </c>
      <c r="Q123" s="11">
        <v>10.0</v>
      </c>
      <c r="R123" s="11">
        <v>10.0</v>
      </c>
      <c r="S123" s="11">
        <v>0.0</v>
      </c>
      <c r="T123" s="11">
        <v>9.0</v>
      </c>
    </row>
    <row r="124">
      <c r="B124" s="11">
        <v>2.0</v>
      </c>
      <c r="C124" s="11">
        <v>0.0</v>
      </c>
      <c r="D124" s="11">
        <v>0.0</v>
      </c>
      <c r="E124" s="11">
        <v>2.0</v>
      </c>
      <c r="F124" s="11">
        <v>2.0</v>
      </c>
      <c r="G124" s="11">
        <v>0.0</v>
      </c>
      <c r="H124" s="11">
        <v>10.0</v>
      </c>
      <c r="I124" s="11">
        <v>0.0</v>
      </c>
      <c r="J124" s="11">
        <v>0.0</v>
      </c>
      <c r="K124" s="11">
        <v>0.0</v>
      </c>
      <c r="L124" s="11">
        <v>0.0</v>
      </c>
      <c r="M124" s="11">
        <v>10.0</v>
      </c>
      <c r="N124" s="11">
        <v>10.0</v>
      </c>
      <c r="O124" s="11">
        <v>0.0</v>
      </c>
      <c r="P124" s="11">
        <v>10.0</v>
      </c>
      <c r="Q124" s="11">
        <v>0.0</v>
      </c>
      <c r="R124" s="11">
        <v>0.0</v>
      </c>
      <c r="S124" s="11">
        <v>0.0</v>
      </c>
      <c r="T124" s="11">
        <v>9.5</v>
      </c>
    </row>
    <row r="125">
      <c r="B125" s="11">
        <v>0.0</v>
      </c>
      <c r="C125" s="11">
        <v>0.0</v>
      </c>
      <c r="D125" s="11">
        <v>2.0</v>
      </c>
      <c r="E125" s="11">
        <v>2.0</v>
      </c>
      <c r="F125" s="11">
        <v>2.0</v>
      </c>
      <c r="G125" s="11">
        <v>10.0</v>
      </c>
      <c r="H125" s="11">
        <v>0.0</v>
      </c>
      <c r="I125" s="11">
        <v>0.0</v>
      </c>
      <c r="J125" s="11">
        <v>10.0</v>
      </c>
      <c r="K125" s="11">
        <v>0.0</v>
      </c>
      <c r="L125" s="11">
        <v>10.0</v>
      </c>
      <c r="M125" s="11">
        <v>10.0</v>
      </c>
      <c r="N125" s="11">
        <v>10.0</v>
      </c>
      <c r="O125" s="11">
        <v>0.0</v>
      </c>
      <c r="P125" s="11">
        <v>0.0</v>
      </c>
      <c r="Q125" s="11">
        <v>0.0</v>
      </c>
      <c r="R125" s="11">
        <v>10.0</v>
      </c>
      <c r="S125" s="11">
        <v>10.0</v>
      </c>
      <c r="T125" s="11">
        <v>9.5</v>
      </c>
    </row>
    <row r="126">
      <c r="B126" s="11">
        <v>0.0</v>
      </c>
      <c r="C126" s="11">
        <v>0.0</v>
      </c>
      <c r="D126" s="11">
        <v>2.0</v>
      </c>
      <c r="E126" s="11">
        <v>2.0</v>
      </c>
      <c r="F126" s="11">
        <v>2.0</v>
      </c>
      <c r="G126" s="11">
        <v>0.0</v>
      </c>
      <c r="H126" s="11">
        <v>0.0</v>
      </c>
      <c r="I126" s="11">
        <v>0.0</v>
      </c>
      <c r="J126" s="11">
        <v>2.5</v>
      </c>
      <c r="K126" s="11">
        <v>0.0</v>
      </c>
      <c r="L126" s="11">
        <v>10.0</v>
      </c>
      <c r="M126" s="11">
        <v>10.0</v>
      </c>
      <c r="N126" s="11">
        <v>10.0</v>
      </c>
      <c r="O126" s="11">
        <v>10.0</v>
      </c>
      <c r="P126" s="11">
        <v>0.0</v>
      </c>
      <c r="Q126" s="11">
        <v>0.0</v>
      </c>
      <c r="R126" s="11">
        <v>10.0</v>
      </c>
      <c r="S126" s="11">
        <v>10.0</v>
      </c>
      <c r="T126" s="11">
        <v>9.0</v>
      </c>
    </row>
    <row r="127">
      <c r="B127" s="11">
        <v>2.0</v>
      </c>
      <c r="C127" s="11">
        <v>0.0</v>
      </c>
      <c r="D127" s="11">
        <v>2.0</v>
      </c>
      <c r="E127" s="11">
        <v>0.0</v>
      </c>
      <c r="F127" s="11">
        <v>2.0</v>
      </c>
      <c r="G127" s="11">
        <v>0.0</v>
      </c>
      <c r="H127" s="11">
        <v>0.0</v>
      </c>
      <c r="I127" s="11">
        <v>10.0</v>
      </c>
      <c r="J127" s="11">
        <v>0.0</v>
      </c>
      <c r="K127" s="11">
        <v>0.0</v>
      </c>
      <c r="L127" s="11">
        <v>10.0</v>
      </c>
      <c r="M127" s="11">
        <v>0.0</v>
      </c>
      <c r="N127" s="11">
        <v>10.0</v>
      </c>
      <c r="O127" s="11">
        <v>0.0</v>
      </c>
      <c r="P127" s="11">
        <v>10.0</v>
      </c>
      <c r="Q127" s="11">
        <v>0.0</v>
      </c>
      <c r="R127" s="11">
        <v>10.0</v>
      </c>
      <c r="S127" s="11">
        <v>0.0</v>
      </c>
      <c r="T127" s="11">
        <v>9.0</v>
      </c>
    </row>
    <row r="128">
      <c r="B128" s="11">
        <v>0.0</v>
      </c>
      <c r="C128" s="11">
        <v>0.0</v>
      </c>
      <c r="D128" s="11">
        <v>2.0</v>
      </c>
      <c r="E128" s="11">
        <v>2.0</v>
      </c>
      <c r="F128" s="11">
        <v>2.0</v>
      </c>
      <c r="G128" s="11">
        <v>10.0</v>
      </c>
      <c r="H128" s="11">
        <v>0.0</v>
      </c>
      <c r="I128" s="11">
        <v>0.0</v>
      </c>
      <c r="J128" s="11">
        <v>10.0</v>
      </c>
      <c r="K128" s="11">
        <v>0.0</v>
      </c>
      <c r="L128" s="11">
        <v>10.0</v>
      </c>
      <c r="M128" s="11">
        <v>10.0</v>
      </c>
      <c r="N128" s="11">
        <v>10.0</v>
      </c>
      <c r="O128" s="11">
        <v>10.0</v>
      </c>
      <c r="P128" s="11">
        <v>0.0</v>
      </c>
      <c r="Q128" s="11">
        <v>0.0</v>
      </c>
      <c r="R128" s="11">
        <v>10.0</v>
      </c>
      <c r="S128" s="11">
        <v>10.0</v>
      </c>
      <c r="T128" s="11">
        <v>9.0</v>
      </c>
    </row>
    <row r="129">
      <c r="B129" s="11">
        <v>0.0</v>
      </c>
      <c r="C129" s="11">
        <v>0.0</v>
      </c>
      <c r="D129" s="11">
        <v>0.0</v>
      </c>
      <c r="E129" s="11">
        <v>2.0</v>
      </c>
      <c r="F129" s="11">
        <v>2.0</v>
      </c>
      <c r="G129" s="11">
        <v>10.0</v>
      </c>
      <c r="H129" s="11">
        <v>10.0</v>
      </c>
      <c r="I129" s="11">
        <v>0.0</v>
      </c>
      <c r="J129" s="11">
        <v>10.0</v>
      </c>
      <c r="K129" s="11">
        <v>0.0</v>
      </c>
      <c r="L129" s="11">
        <v>10.0</v>
      </c>
      <c r="M129" s="11">
        <v>10.0</v>
      </c>
      <c r="N129" s="11">
        <v>10.0</v>
      </c>
      <c r="O129" s="11">
        <v>10.0</v>
      </c>
      <c r="P129" s="11">
        <v>0.0</v>
      </c>
      <c r="Q129" s="11">
        <v>10.0</v>
      </c>
      <c r="R129" s="11">
        <v>0.0</v>
      </c>
      <c r="S129" s="11">
        <v>0.0</v>
      </c>
      <c r="T129" s="11">
        <v>9.5</v>
      </c>
    </row>
    <row r="130">
      <c r="B130" s="11">
        <v>2.0</v>
      </c>
      <c r="C130" s="11">
        <v>0.0</v>
      </c>
      <c r="D130" s="11">
        <v>0.0</v>
      </c>
      <c r="E130" s="11">
        <v>2.0</v>
      </c>
      <c r="F130" s="11">
        <v>0.0</v>
      </c>
      <c r="G130" s="11">
        <v>0.0</v>
      </c>
      <c r="H130" s="11">
        <v>0.0</v>
      </c>
      <c r="I130" s="11">
        <v>0.0</v>
      </c>
      <c r="J130" s="11">
        <v>5.0</v>
      </c>
      <c r="K130" s="11">
        <v>10.0</v>
      </c>
      <c r="L130" s="11">
        <v>0.0</v>
      </c>
      <c r="M130" s="11">
        <v>10.0</v>
      </c>
      <c r="N130" s="11">
        <v>0.0</v>
      </c>
      <c r="O130" s="11">
        <v>0.0</v>
      </c>
      <c r="P130" s="11">
        <v>0.0</v>
      </c>
      <c r="Q130" s="11">
        <v>0.0</v>
      </c>
      <c r="R130" s="11">
        <v>0.0</v>
      </c>
      <c r="S130" s="11">
        <v>0.0</v>
      </c>
      <c r="T130" s="11">
        <v>9.0</v>
      </c>
    </row>
    <row r="131">
      <c r="B131" s="11">
        <v>0.0</v>
      </c>
      <c r="C131" s="11">
        <v>2.0</v>
      </c>
      <c r="D131" s="11">
        <v>2.0</v>
      </c>
      <c r="E131" s="11">
        <v>2.0</v>
      </c>
      <c r="F131" s="11">
        <v>2.0</v>
      </c>
      <c r="G131" s="11">
        <v>0.0</v>
      </c>
      <c r="H131" s="11">
        <v>10.0</v>
      </c>
      <c r="I131" s="11">
        <v>0.0</v>
      </c>
      <c r="J131" s="11">
        <v>0.0</v>
      </c>
      <c r="K131" s="11">
        <v>0.0</v>
      </c>
      <c r="L131" s="11">
        <v>0.0</v>
      </c>
      <c r="M131" s="11">
        <v>0.0</v>
      </c>
      <c r="N131" s="11">
        <v>0.0</v>
      </c>
      <c r="O131" s="11">
        <v>0.0</v>
      </c>
      <c r="P131" s="11">
        <v>0.0</v>
      </c>
      <c r="Q131" s="11">
        <v>0.0</v>
      </c>
      <c r="R131" s="11">
        <v>0.0</v>
      </c>
      <c r="S131" s="11">
        <v>10.0</v>
      </c>
      <c r="T131" s="11">
        <v>9.0</v>
      </c>
    </row>
    <row r="132">
      <c r="B132" s="11">
        <v>2.0</v>
      </c>
      <c r="C132" s="11">
        <v>0.0</v>
      </c>
      <c r="D132" s="11">
        <v>0.0</v>
      </c>
      <c r="E132" s="11">
        <v>2.0</v>
      </c>
      <c r="F132" s="11">
        <v>2.0</v>
      </c>
      <c r="G132" s="11">
        <v>0.0</v>
      </c>
      <c r="H132" s="11">
        <v>0.0</v>
      </c>
      <c r="I132" s="11">
        <v>0.0</v>
      </c>
      <c r="J132" s="11">
        <v>0.0</v>
      </c>
      <c r="K132" s="11">
        <v>0.0</v>
      </c>
      <c r="L132" s="11">
        <v>10.0</v>
      </c>
      <c r="M132" s="11">
        <v>10.0</v>
      </c>
      <c r="N132" s="11">
        <v>0.0</v>
      </c>
      <c r="O132" s="11">
        <v>0.0</v>
      </c>
      <c r="P132" s="11">
        <v>10.0</v>
      </c>
      <c r="Q132" s="11">
        <v>0.0</v>
      </c>
      <c r="R132" s="11">
        <v>0.0</v>
      </c>
      <c r="S132" s="11">
        <v>0.0</v>
      </c>
      <c r="T132" s="11">
        <v>9.0</v>
      </c>
    </row>
    <row r="133">
      <c r="B133" s="11">
        <v>2.0</v>
      </c>
      <c r="C133" s="11">
        <v>0.0</v>
      </c>
      <c r="D133" s="11">
        <v>2.0</v>
      </c>
      <c r="E133" s="11">
        <v>2.0</v>
      </c>
      <c r="F133" s="11">
        <v>2.0</v>
      </c>
      <c r="G133" s="11">
        <v>10.0</v>
      </c>
      <c r="H133" s="11">
        <v>10.0</v>
      </c>
      <c r="I133" s="11">
        <v>0.0</v>
      </c>
      <c r="J133" s="11">
        <v>10.0</v>
      </c>
      <c r="K133" s="11">
        <v>0.0</v>
      </c>
      <c r="L133" s="11">
        <v>10.0</v>
      </c>
      <c r="M133" s="11">
        <v>10.0</v>
      </c>
      <c r="N133" s="11">
        <v>10.0</v>
      </c>
      <c r="O133" s="11">
        <v>0.0</v>
      </c>
      <c r="P133" s="11">
        <v>0.0</v>
      </c>
      <c r="Q133" s="11">
        <v>10.0</v>
      </c>
      <c r="R133" s="11">
        <v>10.0</v>
      </c>
      <c r="S133" s="11">
        <v>0.0</v>
      </c>
      <c r="T133" s="11">
        <v>9.0</v>
      </c>
    </row>
    <row r="134">
      <c r="B134" s="11">
        <v>2.0</v>
      </c>
      <c r="C134" s="11">
        <v>2.0</v>
      </c>
      <c r="D134" s="11">
        <v>0.0</v>
      </c>
      <c r="E134" s="11">
        <v>2.0</v>
      </c>
      <c r="F134" s="11">
        <v>2.0</v>
      </c>
      <c r="G134" s="11">
        <v>0.0</v>
      </c>
      <c r="H134" s="11">
        <v>10.0</v>
      </c>
      <c r="I134" s="11">
        <v>0.0</v>
      </c>
      <c r="J134" s="11">
        <v>2.5</v>
      </c>
      <c r="K134" s="11">
        <v>10.0</v>
      </c>
      <c r="L134" s="11">
        <v>10.0</v>
      </c>
      <c r="M134" s="11">
        <v>0.0</v>
      </c>
      <c r="N134" s="11">
        <v>0.0</v>
      </c>
      <c r="O134" s="11">
        <v>10.0</v>
      </c>
      <c r="P134" s="11">
        <v>0.0</v>
      </c>
      <c r="Q134" s="11">
        <v>0.0</v>
      </c>
      <c r="R134" s="11">
        <v>0.0</v>
      </c>
      <c r="S134" s="11">
        <v>0.0</v>
      </c>
      <c r="T134" s="11">
        <v>9.0</v>
      </c>
    </row>
    <row r="135">
      <c r="B135" s="11">
        <v>2.0</v>
      </c>
      <c r="C135" s="11">
        <v>2.0</v>
      </c>
      <c r="D135" s="11">
        <v>0.0</v>
      </c>
      <c r="E135" s="11">
        <v>2.0</v>
      </c>
      <c r="F135" s="11">
        <v>2.0</v>
      </c>
      <c r="G135" s="11">
        <v>0.0</v>
      </c>
      <c r="H135" s="11">
        <v>10.0</v>
      </c>
      <c r="I135" s="11">
        <v>0.0</v>
      </c>
      <c r="J135" s="11">
        <v>0.0</v>
      </c>
      <c r="K135" s="11">
        <v>10.0</v>
      </c>
      <c r="L135" s="11">
        <v>10.0</v>
      </c>
      <c r="M135" s="11">
        <v>0.0</v>
      </c>
      <c r="N135" s="11">
        <v>0.0</v>
      </c>
      <c r="O135" s="11">
        <v>0.0</v>
      </c>
      <c r="P135" s="11">
        <v>10.0</v>
      </c>
      <c r="Q135" s="11">
        <v>0.0</v>
      </c>
      <c r="R135" s="11">
        <v>0.0</v>
      </c>
      <c r="S135" s="11">
        <v>0.0</v>
      </c>
      <c r="T135" s="11">
        <v>9.0</v>
      </c>
    </row>
    <row r="136">
      <c r="B136" s="11">
        <v>0.0</v>
      </c>
      <c r="C136" s="11">
        <v>0.0</v>
      </c>
      <c r="D136" s="11">
        <v>0.0</v>
      </c>
      <c r="E136" s="11">
        <v>2.0</v>
      </c>
      <c r="F136" s="11">
        <v>0.0</v>
      </c>
      <c r="G136" s="11">
        <v>10.0</v>
      </c>
      <c r="H136" s="11">
        <v>0.0</v>
      </c>
      <c r="I136" s="11">
        <v>0.0</v>
      </c>
      <c r="J136" s="11">
        <v>0.0</v>
      </c>
      <c r="K136" s="11">
        <v>0.0</v>
      </c>
      <c r="L136" s="11">
        <v>0.0</v>
      </c>
      <c r="M136" s="11">
        <v>0.0</v>
      </c>
      <c r="N136" s="11">
        <v>0.0</v>
      </c>
      <c r="O136" s="11">
        <v>10.0</v>
      </c>
      <c r="P136" s="11">
        <v>0.0</v>
      </c>
      <c r="Q136" s="11">
        <v>0.0</v>
      </c>
      <c r="R136" s="11">
        <v>0.0</v>
      </c>
      <c r="S136" s="11">
        <v>0.0</v>
      </c>
      <c r="T136" s="11">
        <v>9.0</v>
      </c>
    </row>
    <row r="137">
      <c r="B137" s="11">
        <v>2.0</v>
      </c>
      <c r="C137" s="11">
        <v>0.0</v>
      </c>
      <c r="D137" s="11">
        <v>0.0</v>
      </c>
      <c r="E137" s="11">
        <v>2.0</v>
      </c>
      <c r="F137" s="11">
        <v>0.0</v>
      </c>
      <c r="G137" s="11">
        <v>0.0</v>
      </c>
      <c r="H137" s="11">
        <v>0.0</v>
      </c>
      <c r="I137" s="11">
        <v>0.0</v>
      </c>
      <c r="J137" s="11">
        <v>10.0</v>
      </c>
      <c r="K137" s="11">
        <v>0.0</v>
      </c>
      <c r="L137" s="11">
        <v>10.0</v>
      </c>
      <c r="M137" s="11">
        <v>10.0</v>
      </c>
      <c r="N137" s="11">
        <v>0.0</v>
      </c>
      <c r="O137" s="11">
        <v>0.0</v>
      </c>
      <c r="P137" s="11">
        <v>0.0</v>
      </c>
      <c r="Q137" s="11">
        <v>10.0</v>
      </c>
      <c r="R137" s="11">
        <v>0.0</v>
      </c>
      <c r="S137" s="11">
        <v>0.0</v>
      </c>
      <c r="T137" s="11">
        <v>9.0</v>
      </c>
    </row>
    <row r="138">
      <c r="B138" s="11">
        <v>2.0</v>
      </c>
      <c r="C138" s="11">
        <v>0.0</v>
      </c>
      <c r="D138" s="11">
        <v>0.0</v>
      </c>
      <c r="E138" s="11">
        <v>0.0</v>
      </c>
      <c r="F138" s="11">
        <v>2.0</v>
      </c>
      <c r="G138" s="11">
        <v>10.0</v>
      </c>
      <c r="H138" s="11">
        <v>10.0</v>
      </c>
      <c r="I138" s="11">
        <v>0.0</v>
      </c>
      <c r="J138" s="11">
        <v>10.0</v>
      </c>
      <c r="K138" s="11">
        <v>0.0</v>
      </c>
      <c r="L138" s="11">
        <v>0.0</v>
      </c>
      <c r="M138" s="11">
        <v>10.0</v>
      </c>
      <c r="N138" s="11">
        <v>10.0</v>
      </c>
      <c r="O138" s="11">
        <v>0.0</v>
      </c>
      <c r="P138" s="11">
        <v>0.0</v>
      </c>
      <c r="Q138" s="11">
        <v>0.0</v>
      </c>
      <c r="R138" s="11">
        <v>0.0</v>
      </c>
      <c r="S138" s="11">
        <v>0.0</v>
      </c>
      <c r="T138" s="11">
        <v>9.0</v>
      </c>
    </row>
    <row r="139">
      <c r="B139" s="11">
        <v>2.0</v>
      </c>
      <c r="C139" s="11">
        <v>0.0</v>
      </c>
      <c r="D139" s="11">
        <v>0.0</v>
      </c>
      <c r="E139" s="11">
        <v>2.0</v>
      </c>
      <c r="F139" s="11">
        <v>2.0</v>
      </c>
      <c r="G139" s="11">
        <v>10.0</v>
      </c>
      <c r="H139" s="11">
        <v>0.0</v>
      </c>
      <c r="I139" s="11">
        <v>0.0</v>
      </c>
      <c r="J139" s="11">
        <v>10.0</v>
      </c>
      <c r="K139" s="11">
        <v>0.0</v>
      </c>
      <c r="L139" s="11">
        <v>0.0</v>
      </c>
      <c r="M139" s="11">
        <v>0.0</v>
      </c>
      <c r="N139" s="11">
        <v>10.0</v>
      </c>
      <c r="O139" s="11">
        <v>10.0</v>
      </c>
      <c r="P139" s="11">
        <v>10.0</v>
      </c>
      <c r="Q139" s="11">
        <v>0.0</v>
      </c>
      <c r="R139" s="11">
        <v>10.0</v>
      </c>
      <c r="S139" s="11">
        <v>0.0</v>
      </c>
      <c r="T139" s="11">
        <v>9.0</v>
      </c>
    </row>
    <row r="140">
      <c r="B140" s="11">
        <v>2.0</v>
      </c>
      <c r="C140" s="11">
        <v>2.0</v>
      </c>
      <c r="D140" s="11">
        <v>0.0</v>
      </c>
      <c r="E140" s="11">
        <v>2.0</v>
      </c>
      <c r="F140" s="11">
        <v>2.0</v>
      </c>
      <c r="G140" s="11">
        <v>10.0</v>
      </c>
      <c r="H140" s="11">
        <v>0.0</v>
      </c>
      <c r="I140" s="11">
        <v>0.0</v>
      </c>
      <c r="J140" s="11">
        <v>10.0</v>
      </c>
      <c r="K140" s="11">
        <v>0.0</v>
      </c>
      <c r="L140" s="11">
        <v>10.0</v>
      </c>
      <c r="M140" s="11">
        <v>0.0</v>
      </c>
      <c r="N140" s="11">
        <v>10.0</v>
      </c>
      <c r="O140" s="11">
        <v>0.0</v>
      </c>
      <c r="P140" s="11">
        <v>10.0</v>
      </c>
      <c r="Q140" s="11">
        <v>0.0</v>
      </c>
      <c r="R140" s="11">
        <v>0.0</v>
      </c>
      <c r="S140" s="11">
        <v>0.0</v>
      </c>
      <c r="T140" s="11" t="s">
        <v>29</v>
      </c>
    </row>
    <row r="141">
      <c r="B141" s="11">
        <v>2.0</v>
      </c>
      <c r="C141" s="11">
        <v>2.0</v>
      </c>
      <c r="D141" s="11">
        <v>0.0</v>
      </c>
      <c r="E141" s="11">
        <v>0.0</v>
      </c>
      <c r="F141" s="11">
        <v>0.0</v>
      </c>
      <c r="G141" s="11">
        <v>0.0</v>
      </c>
      <c r="H141" s="11">
        <v>0.0</v>
      </c>
      <c r="I141" s="11">
        <v>0.0</v>
      </c>
      <c r="J141" s="11">
        <v>0.0</v>
      </c>
      <c r="K141" s="11">
        <v>10.0</v>
      </c>
      <c r="L141" s="11">
        <v>0.0</v>
      </c>
      <c r="M141" s="11">
        <v>10.0</v>
      </c>
      <c r="N141" s="11">
        <v>10.0</v>
      </c>
      <c r="O141" s="11">
        <v>10.0</v>
      </c>
      <c r="P141" s="11">
        <v>10.0</v>
      </c>
      <c r="Q141" s="11">
        <v>0.0</v>
      </c>
      <c r="R141" s="11">
        <v>0.0</v>
      </c>
      <c r="S141" s="11">
        <v>10.0</v>
      </c>
      <c r="T141" s="11">
        <v>9.5</v>
      </c>
    </row>
    <row r="142">
      <c r="B142" s="11">
        <v>2.0</v>
      </c>
      <c r="C142" s="11">
        <v>0.0</v>
      </c>
      <c r="D142" s="11">
        <v>0.0</v>
      </c>
      <c r="E142" s="11">
        <v>2.0</v>
      </c>
      <c r="F142" s="11">
        <v>0.0</v>
      </c>
      <c r="G142" s="11">
        <v>0.0</v>
      </c>
      <c r="H142" s="11">
        <v>10.0</v>
      </c>
      <c r="I142" s="11">
        <v>0.0</v>
      </c>
      <c r="J142" s="11">
        <v>0.0</v>
      </c>
      <c r="K142" s="11">
        <v>0.0</v>
      </c>
      <c r="L142" s="11">
        <v>0.0</v>
      </c>
      <c r="M142" s="11">
        <v>0.0</v>
      </c>
      <c r="N142" s="11">
        <v>10.0</v>
      </c>
      <c r="O142" s="11">
        <v>0.0</v>
      </c>
      <c r="P142" s="11">
        <v>0.0</v>
      </c>
      <c r="Q142" s="11">
        <v>0.0</v>
      </c>
      <c r="R142" s="11">
        <v>10.0</v>
      </c>
      <c r="S142" s="11">
        <v>10.0</v>
      </c>
      <c r="T142" s="11">
        <v>9.0</v>
      </c>
    </row>
    <row r="143">
      <c r="B143" s="11">
        <v>2.0</v>
      </c>
      <c r="C143" s="11">
        <v>2.0</v>
      </c>
      <c r="D143" s="11">
        <v>0.0</v>
      </c>
      <c r="E143" s="11">
        <v>2.0</v>
      </c>
      <c r="F143" s="11">
        <v>2.0</v>
      </c>
      <c r="G143" s="11">
        <v>10.0</v>
      </c>
      <c r="H143" s="11">
        <v>10.0</v>
      </c>
      <c r="I143" s="11">
        <v>0.0</v>
      </c>
      <c r="J143" s="11">
        <v>2.5</v>
      </c>
      <c r="K143" s="11">
        <v>10.0</v>
      </c>
      <c r="L143" s="11">
        <v>10.0</v>
      </c>
      <c r="M143" s="11">
        <v>0.0</v>
      </c>
      <c r="N143" s="11">
        <v>0.0</v>
      </c>
      <c r="O143" s="11">
        <v>10.0</v>
      </c>
      <c r="P143" s="11">
        <v>0.0</v>
      </c>
      <c r="Q143" s="11">
        <v>10.0</v>
      </c>
      <c r="R143" s="11">
        <v>0.0</v>
      </c>
      <c r="S143" s="11">
        <v>0.0</v>
      </c>
      <c r="T143" s="11">
        <v>9.0</v>
      </c>
    </row>
    <row r="144">
      <c r="B144" s="11">
        <v>0.0</v>
      </c>
      <c r="C144" s="11">
        <v>0.0</v>
      </c>
      <c r="D144" s="11">
        <v>0.0</v>
      </c>
      <c r="E144" s="11">
        <v>2.0</v>
      </c>
      <c r="F144" s="11">
        <v>0.0</v>
      </c>
      <c r="G144" s="11">
        <v>0.0</v>
      </c>
      <c r="H144" s="11">
        <v>0.0</v>
      </c>
      <c r="I144" s="11">
        <v>0.0</v>
      </c>
      <c r="J144" s="11">
        <v>0.0</v>
      </c>
      <c r="K144" s="11">
        <v>0.0</v>
      </c>
      <c r="L144" s="11">
        <v>0.0</v>
      </c>
      <c r="M144" s="11">
        <v>0.0</v>
      </c>
      <c r="N144" s="11">
        <v>0.0</v>
      </c>
      <c r="O144" s="11">
        <v>0.0</v>
      </c>
      <c r="P144" s="11">
        <v>0.0</v>
      </c>
      <c r="Q144" s="11">
        <v>0.0</v>
      </c>
      <c r="R144" s="11">
        <v>0.0</v>
      </c>
      <c r="S144" s="11">
        <v>0.0</v>
      </c>
      <c r="T144" s="11">
        <v>7.0</v>
      </c>
    </row>
    <row r="145">
      <c r="B145" s="11">
        <v>2.0</v>
      </c>
      <c r="C145" s="11">
        <v>0.0</v>
      </c>
      <c r="D145" s="11">
        <v>0.0</v>
      </c>
      <c r="E145" s="11">
        <v>2.0</v>
      </c>
      <c r="F145" s="11">
        <v>0.0</v>
      </c>
      <c r="G145" s="11">
        <v>0.0</v>
      </c>
      <c r="H145" s="11">
        <v>10.0</v>
      </c>
      <c r="I145" s="11">
        <v>0.0</v>
      </c>
      <c r="J145" s="11">
        <v>2.5</v>
      </c>
      <c r="K145" s="11">
        <v>0.0</v>
      </c>
      <c r="L145" s="11">
        <v>0.0</v>
      </c>
      <c r="M145" s="11">
        <v>10.0</v>
      </c>
      <c r="N145" s="11">
        <v>10.0</v>
      </c>
      <c r="O145" s="11">
        <v>0.0</v>
      </c>
      <c r="P145" s="11">
        <v>10.0</v>
      </c>
      <c r="Q145" s="11">
        <v>0.0</v>
      </c>
      <c r="R145" s="11">
        <v>0.0</v>
      </c>
      <c r="S145" s="11">
        <v>0.0</v>
      </c>
      <c r="T145" s="11">
        <v>9.0</v>
      </c>
    </row>
    <row r="146">
      <c r="B146" s="11">
        <v>2.0</v>
      </c>
      <c r="C146" s="11">
        <v>2.0</v>
      </c>
      <c r="D146" s="11">
        <v>2.0</v>
      </c>
      <c r="E146" s="11">
        <v>2.0</v>
      </c>
      <c r="F146" s="11">
        <v>2.0</v>
      </c>
      <c r="G146" s="11">
        <v>0.0</v>
      </c>
      <c r="H146" s="11">
        <v>0.0</v>
      </c>
      <c r="I146" s="11">
        <v>0.0</v>
      </c>
      <c r="J146" s="11">
        <v>0.0</v>
      </c>
      <c r="K146" s="11">
        <v>0.0</v>
      </c>
      <c r="L146" s="11">
        <v>0.0</v>
      </c>
      <c r="M146" s="11">
        <v>10.0</v>
      </c>
      <c r="N146" s="11">
        <v>0.0</v>
      </c>
      <c r="O146" s="11">
        <v>0.0</v>
      </c>
      <c r="P146" s="11">
        <v>10.0</v>
      </c>
      <c r="Q146" s="11">
        <v>0.0</v>
      </c>
      <c r="R146" s="11">
        <v>0.0</v>
      </c>
      <c r="S146" s="11">
        <v>10.0</v>
      </c>
      <c r="T146" s="11">
        <v>9.0</v>
      </c>
    </row>
    <row r="147">
      <c r="B147" s="11">
        <v>2.0</v>
      </c>
      <c r="C147" s="11">
        <v>0.0</v>
      </c>
      <c r="D147" s="11">
        <v>0.0</v>
      </c>
      <c r="E147" s="11">
        <v>2.0</v>
      </c>
      <c r="F147" s="11">
        <v>2.0</v>
      </c>
      <c r="G147" s="11">
        <v>0.0</v>
      </c>
      <c r="H147" s="11">
        <v>10.0</v>
      </c>
      <c r="I147" s="11">
        <v>0.0</v>
      </c>
      <c r="J147" s="11">
        <v>0.0</v>
      </c>
      <c r="K147" s="11">
        <v>10.0</v>
      </c>
      <c r="L147" s="11">
        <v>10.0</v>
      </c>
      <c r="M147" s="11">
        <v>0.0</v>
      </c>
      <c r="N147" s="11">
        <v>0.0</v>
      </c>
      <c r="O147" s="11">
        <v>10.0</v>
      </c>
      <c r="P147" s="11">
        <v>0.0</v>
      </c>
      <c r="Q147" s="11">
        <v>10.0</v>
      </c>
      <c r="R147" s="11">
        <v>0.0</v>
      </c>
      <c r="S147" s="11">
        <v>0.0</v>
      </c>
      <c r="T147" s="11">
        <v>9.0</v>
      </c>
    </row>
    <row r="148">
      <c r="B148" s="11">
        <v>2.0</v>
      </c>
      <c r="C148" s="11">
        <v>2.0</v>
      </c>
      <c r="D148" s="11">
        <v>0.0</v>
      </c>
      <c r="E148" s="11">
        <v>2.0</v>
      </c>
      <c r="F148" s="11">
        <v>2.0</v>
      </c>
      <c r="G148" s="11">
        <v>0.0</v>
      </c>
      <c r="H148" s="11">
        <v>10.0</v>
      </c>
      <c r="I148" s="11">
        <v>0.0</v>
      </c>
      <c r="J148" s="11">
        <v>10.0</v>
      </c>
      <c r="K148" s="11">
        <v>0.0</v>
      </c>
      <c r="L148" s="11">
        <v>10.0</v>
      </c>
      <c r="M148" s="11">
        <v>10.0</v>
      </c>
      <c r="N148" s="11">
        <v>10.0</v>
      </c>
      <c r="O148" s="11">
        <v>10.0</v>
      </c>
      <c r="P148" s="11">
        <v>0.0</v>
      </c>
      <c r="Q148" s="11">
        <v>10.0</v>
      </c>
      <c r="R148" s="11">
        <v>0.0</v>
      </c>
      <c r="S148" s="11">
        <v>0.0</v>
      </c>
      <c r="T148" s="11">
        <v>9.5</v>
      </c>
    </row>
    <row r="149">
      <c r="B149" s="11">
        <v>2.0</v>
      </c>
      <c r="C149" s="11">
        <v>2.0</v>
      </c>
      <c r="D149" s="11">
        <v>0.0</v>
      </c>
      <c r="E149" s="11">
        <v>2.0</v>
      </c>
      <c r="F149" s="11">
        <v>2.0</v>
      </c>
      <c r="G149" s="11">
        <v>0.0</v>
      </c>
      <c r="H149" s="11">
        <v>10.0</v>
      </c>
      <c r="I149" s="11">
        <v>0.0</v>
      </c>
      <c r="J149" s="11">
        <v>0.0</v>
      </c>
      <c r="K149" s="11">
        <v>10.0</v>
      </c>
      <c r="L149" s="11">
        <v>0.0</v>
      </c>
      <c r="M149" s="11">
        <v>10.0</v>
      </c>
      <c r="N149" s="11">
        <v>0.0</v>
      </c>
      <c r="O149" s="11">
        <v>10.0</v>
      </c>
      <c r="P149" s="11">
        <v>0.0</v>
      </c>
      <c r="Q149" s="11">
        <v>0.0</v>
      </c>
      <c r="R149" s="11">
        <v>0.0</v>
      </c>
      <c r="S149" s="11">
        <v>0.0</v>
      </c>
      <c r="T149" s="11">
        <v>9.0</v>
      </c>
    </row>
    <row r="150">
      <c r="B150" s="11">
        <v>2.0</v>
      </c>
      <c r="C150" s="11">
        <v>2.0</v>
      </c>
      <c r="D150" s="11">
        <v>0.0</v>
      </c>
      <c r="E150" s="11">
        <v>0.0</v>
      </c>
      <c r="F150" s="11">
        <v>2.0</v>
      </c>
      <c r="G150" s="11">
        <v>0.0</v>
      </c>
      <c r="H150" s="11">
        <v>0.0</v>
      </c>
      <c r="I150" s="11">
        <v>0.0</v>
      </c>
      <c r="J150" s="11">
        <v>2.5</v>
      </c>
      <c r="K150" s="11">
        <v>10.0</v>
      </c>
      <c r="L150" s="11">
        <v>10.0</v>
      </c>
      <c r="M150" s="11">
        <v>0.0</v>
      </c>
      <c r="N150" s="11">
        <v>0.0</v>
      </c>
      <c r="O150" s="11">
        <v>10.0</v>
      </c>
      <c r="P150" s="11">
        <v>10.0</v>
      </c>
      <c r="Q150" s="11">
        <v>0.0</v>
      </c>
      <c r="R150" s="11">
        <v>10.0</v>
      </c>
      <c r="S150" s="11">
        <v>0.0</v>
      </c>
      <c r="T150" s="11">
        <v>9.5</v>
      </c>
    </row>
    <row r="151">
      <c r="B151" s="11">
        <v>0.0</v>
      </c>
      <c r="C151" s="11">
        <v>2.0</v>
      </c>
      <c r="D151" s="11">
        <v>0.0</v>
      </c>
      <c r="E151" s="11">
        <v>2.0</v>
      </c>
      <c r="F151" s="11">
        <v>0.0</v>
      </c>
      <c r="G151" s="11">
        <v>0.0</v>
      </c>
      <c r="H151" s="11">
        <v>10.0</v>
      </c>
      <c r="I151" s="11">
        <v>0.0</v>
      </c>
      <c r="J151" s="11">
        <v>0.0</v>
      </c>
      <c r="K151" s="11">
        <v>0.0</v>
      </c>
      <c r="L151" s="11">
        <v>0.0</v>
      </c>
      <c r="M151" s="11">
        <v>10.0</v>
      </c>
      <c r="N151" s="11">
        <v>0.0</v>
      </c>
      <c r="O151" s="11">
        <v>0.0</v>
      </c>
      <c r="P151" s="11">
        <v>0.0</v>
      </c>
      <c r="Q151" s="11">
        <v>0.0</v>
      </c>
      <c r="R151" s="11">
        <v>0.0</v>
      </c>
      <c r="S151" s="11">
        <v>10.0</v>
      </c>
      <c r="T151" s="11">
        <v>0.0</v>
      </c>
    </row>
    <row r="152">
      <c r="A152" s="10" t="s">
        <v>30</v>
      </c>
      <c r="B152" s="11">
        <v>1.43</v>
      </c>
      <c r="C152" s="11">
        <v>1.11</v>
      </c>
      <c r="D152" s="11">
        <v>0.5</v>
      </c>
      <c r="E152" s="11">
        <v>1.64</v>
      </c>
      <c r="F152" s="11">
        <v>1.36</v>
      </c>
      <c r="G152" s="11">
        <v>3.04</v>
      </c>
      <c r="H152" s="11">
        <v>5.0</v>
      </c>
      <c r="I152" s="11">
        <v>0.89</v>
      </c>
      <c r="J152" s="11">
        <v>5.4</v>
      </c>
      <c r="K152" s="11">
        <v>3.04</v>
      </c>
      <c r="L152" s="11">
        <v>4.64</v>
      </c>
      <c r="M152" s="11">
        <v>6.96</v>
      </c>
      <c r="N152" s="11">
        <v>4.82</v>
      </c>
      <c r="O152" s="11">
        <v>3.93</v>
      </c>
      <c r="P152" s="11">
        <v>4.29</v>
      </c>
      <c r="Q152" s="11">
        <v>3.39</v>
      </c>
      <c r="R152" s="11">
        <v>3.75</v>
      </c>
      <c r="S152" s="11">
        <v>2.86</v>
      </c>
      <c r="T152" s="11">
        <v>8.59</v>
      </c>
    </row>
    <row r="154">
      <c r="A154" s="10" t="s">
        <v>31</v>
      </c>
      <c r="B154" s="12">
        <f t="shared" ref="B154:F154" si="6">COUNTIF(B97:B151,"=2")</f>
        <v>40</v>
      </c>
      <c r="C154" s="12">
        <f t="shared" si="6"/>
        <v>31</v>
      </c>
      <c r="D154" s="12">
        <f t="shared" si="6"/>
        <v>14</v>
      </c>
      <c r="E154" s="12">
        <f t="shared" si="6"/>
        <v>46</v>
      </c>
      <c r="F154" s="12">
        <f t="shared" si="6"/>
        <v>38</v>
      </c>
      <c r="G154" s="12">
        <f t="shared" ref="G154:T154" si="7">COUNTIF(G97:G151,"=10")</f>
        <v>17</v>
      </c>
      <c r="H154" s="12">
        <f t="shared" si="7"/>
        <v>28</v>
      </c>
      <c r="I154" s="12">
        <f t="shared" si="7"/>
        <v>5</v>
      </c>
      <c r="J154" s="12">
        <f t="shared" si="7"/>
        <v>24</v>
      </c>
      <c r="K154" s="12">
        <f t="shared" si="7"/>
        <v>17</v>
      </c>
      <c r="L154" s="12">
        <f t="shared" si="7"/>
        <v>26</v>
      </c>
      <c r="M154" s="12">
        <f t="shared" si="7"/>
        <v>39</v>
      </c>
      <c r="N154" s="12">
        <f t="shared" si="7"/>
        <v>27</v>
      </c>
      <c r="O154" s="12">
        <f t="shared" si="7"/>
        <v>22</v>
      </c>
      <c r="P154" s="12">
        <f t="shared" si="7"/>
        <v>24</v>
      </c>
      <c r="Q154" s="12">
        <f t="shared" si="7"/>
        <v>19</v>
      </c>
      <c r="R154" s="12">
        <f t="shared" si="7"/>
        <v>21</v>
      </c>
      <c r="S154" s="12">
        <f t="shared" si="7"/>
        <v>16</v>
      </c>
      <c r="T154" s="12">
        <f t="shared" si="7"/>
        <v>0</v>
      </c>
    </row>
    <row r="155">
      <c r="A155" s="10" t="s">
        <v>32</v>
      </c>
      <c r="B155" s="9">
        <f t="shared" ref="B155:T155" si="8">B154/58</f>
        <v>0.6896551724</v>
      </c>
      <c r="C155" s="9">
        <f t="shared" si="8"/>
        <v>0.5344827586</v>
      </c>
      <c r="D155" s="9">
        <f t="shared" si="8"/>
        <v>0.2413793103</v>
      </c>
      <c r="E155" s="9">
        <f t="shared" si="8"/>
        <v>0.7931034483</v>
      </c>
      <c r="F155" s="9">
        <f t="shared" si="8"/>
        <v>0.6551724138</v>
      </c>
      <c r="G155" s="9">
        <f t="shared" si="8"/>
        <v>0.2931034483</v>
      </c>
      <c r="H155" s="9">
        <f t="shared" si="8"/>
        <v>0.4827586207</v>
      </c>
      <c r="I155" s="9">
        <f t="shared" si="8"/>
        <v>0.08620689655</v>
      </c>
      <c r="J155" s="9">
        <f t="shared" si="8"/>
        <v>0.4137931034</v>
      </c>
      <c r="K155" s="9">
        <f t="shared" si="8"/>
        <v>0.2931034483</v>
      </c>
      <c r="L155" s="9">
        <f t="shared" si="8"/>
        <v>0.4482758621</v>
      </c>
      <c r="M155" s="9">
        <f t="shared" si="8"/>
        <v>0.6724137931</v>
      </c>
      <c r="N155" s="9">
        <f t="shared" si="8"/>
        <v>0.4655172414</v>
      </c>
      <c r="O155" s="9">
        <f t="shared" si="8"/>
        <v>0.3793103448</v>
      </c>
      <c r="P155" s="9">
        <f t="shared" si="8"/>
        <v>0.4137931034</v>
      </c>
      <c r="Q155" s="9">
        <f t="shared" si="8"/>
        <v>0.3275862069</v>
      </c>
      <c r="R155" s="9">
        <f t="shared" si="8"/>
        <v>0.3620689655</v>
      </c>
      <c r="S155" s="9">
        <f t="shared" si="8"/>
        <v>0.275862069</v>
      </c>
      <c r="T155" s="9">
        <f t="shared" si="8"/>
        <v>0</v>
      </c>
    </row>
    <row r="158">
      <c r="B158" s="10" t="s">
        <v>33</v>
      </c>
      <c r="E158" s="10" t="s">
        <v>34</v>
      </c>
    </row>
    <row r="159">
      <c r="B159" s="10" t="s">
        <v>35</v>
      </c>
      <c r="E159" s="10" t="s">
        <v>36</v>
      </c>
      <c r="H159" s="10" t="s">
        <v>37</v>
      </c>
    </row>
  </sheetData>
  <conditionalFormatting sqref="B97:F151">
    <cfRule type="cellIs" dxfId="0" priority="1" operator="equal">
      <formula>2</formula>
    </cfRule>
  </conditionalFormatting>
  <conditionalFormatting sqref="B97:F151">
    <cfRule type="cellIs" dxfId="1" priority="2" operator="equal">
      <formula>0</formula>
    </cfRule>
  </conditionalFormatting>
  <conditionalFormatting sqref="G97:T151">
    <cfRule type="cellIs" dxfId="0" priority="3" operator="equal">
      <formula>10</formula>
    </cfRule>
  </conditionalFormatting>
  <conditionalFormatting sqref="G97:T151">
    <cfRule type="cellIs" dxfId="1" priority="4" operator="equal">
      <formula>0</formula>
    </cfRule>
  </conditionalFormatting>
  <conditionalFormatting sqref="G97:T151">
    <cfRule type="notContainsBlanks" dxfId="2" priority="5">
      <formula>LEN(TRIM(G97))&gt;0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 t="s">
        <v>0</v>
      </c>
      <c r="D1" s="1">
        <v>150.0</v>
      </c>
      <c r="E1" s="1" t="s">
        <v>1</v>
      </c>
      <c r="F1" s="1">
        <v>0.4833</v>
      </c>
      <c r="G1" s="3" t="s">
        <v>2</v>
      </c>
      <c r="H1" s="4">
        <f>AVERAGE(D3:D61)</f>
        <v>0.8000341808</v>
      </c>
      <c r="I1" s="1"/>
    </row>
    <row r="2">
      <c r="A2" s="1" t="s">
        <v>3</v>
      </c>
      <c r="B2" s="1" t="s">
        <v>4</v>
      </c>
      <c r="C2" s="5" t="s">
        <v>5</v>
      </c>
      <c r="D2" s="1" t="s">
        <v>4</v>
      </c>
      <c r="E2" s="1" t="s">
        <v>6</v>
      </c>
      <c r="F2" s="1" t="s">
        <v>38</v>
      </c>
      <c r="G2" s="1" t="s">
        <v>8</v>
      </c>
      <c r="H2" s="8">
        <f>AVERAGE(A3:A61)/D1</f>
        <v>0.6129943503</v>
      </c>
      <c r="I2" s="1"/>
    </row>
    <row r="3">
      <c r="A3" s="13">
        <v>139.5</v>
      </c>
      <c r="B3" s="8">
        <f t="shared" ref="B3:B61" si="1">A3/$D$1</f>
        <v>0.93</v>
      </c>
      <c r="C3" s="2">
        <f t="shared" ref="C3:C61" si="2">($D$1-A3)*$F$1+A3</f>
        <v>144.57465</v>
      </c>
      <c r="D3" s="8">
        <f t="shared" ref="D3:D61" si="3">C3/$D$1</f>
        <v>0.963831</v>
      </c>
      <c r="E3" s="2">
        <f t="shared" ref="E3:E61" si="4">round(C3-A3,0)</f>
        <v>5</v>
      </c>
      <c r="F3" s="8">
        <f t="shared" ref="F3:F61" si="5">E3/$D$1</f>
        <v>0.03333333333</v>
      </c>
      <c r="G3" s="2"/>
      <c r="H3" s="2"/>
      <c r="I3" s="1"/>
    </row>
    <row r="4">
      <c r="A4" s="13">
        <v>127.5</v>
      </c>
      <c r="B4" s="8">
        <f t="shared" si="1"/>
        <v>0.85</v>
      </c>
      <c r="C4" s="2">
        <f t="shared" si="2"/>
        <v>138.37425</v>
      </c>
      <c r="D4" s="8">
        <f t="shared" si="3"/>
        <v>0.922495</v>
      </c>
      <c r="E4" s="2">
        <f t="shared" si="4"/>
        <v>11</v>
      </c>
      <c r="F4" s="8">
        <f t="shared" si="5"/>
        <v>0.07333333333</v>
      </c>
      <c r="G4" s="2"/>
      <c r="H4" s="2"/>
      <c r="I4" s="1"/>
    </row>
    <row r="5">
      <c r="A5" s="13">
        <v>126.5</v>
      </c>
      <c r="B5" s="8">
        <f t="shared" si="1"/>
        <v>0.8433333333</v>
      </c>
      <c r="C5" s="2">
        <f t="shared" si="2"/>
        <v>137.85755</v>
      </c>
      <c r="D5" s="8">
        <f t="shared" si="3"/>
        <v>0.9190503333</v>
      </c>
      <c r="E5" s="2">
        <f t="shared" si="4"/>
        <v>11</v>
      </c>
      <c r="F5" s="8">
        <f t="shared" si="5"/>
        <v>0.07333333333</v>
      </c>
      <c r="G5" s="2"/>
      <c r="H5" s="2"/>
      <c r="I5" s="1"/>
    </row>
    <row r="6">
      <c r="A6" s="13">
        <v>77.0</v>
      </c>
      <c r="B6" s="8">
        <f t="shared" si="1"/>
        <v>0.5133333333</v>
      </c>
      <c r="C6" s="2">
        <f t="shared" si="2"/>
        <v>112.2809</v>
      </c>
      <c r="D6" s="8">
        <f t="shared" si="3"/>
        <v>0.7485393333</v>
      </c>
      <c r="E6" s="2">
        <f t="shared" si="4"/>
        <v>35</v>
      </c>
      <c r="F6" s="8">
        <f t="shared" si="5"/>
        <v>0.2333333333</v>
      </c>
      <c r="G6" s="2"/>
      <c r="H6" s="2"/>
      <c r="I6" s="1"/>
    </row>
    <row r="7">
      <c r="A7" s="13">
        <v>87.5</v>
      </c>
      <c r="B7" s="8">
        <f t="shared" si="1"/>
        <v>0.5833333333</v>
      </c>
      <c r="C7" s="2">
        <f t="shared" si="2"/>
        <v>117.70625</v>
      </c>
      <c r="D7" s="8">
        <f t="shared" si="3"/>
        <v>0.7847083333</v>
      </c>
      <c r="E7" s="2">
        <f t="shared" si="4"/>
        <v>30</v>
      </c>
      <c r="F7" s="8">
        <f t="shared" si="5"/>
        <v>0.2</v>
      </c>
      <c r="G7" s="2"/>
      <c r="H7" s="2"/>
      <c r="I7" s="1"/>
    </row>
    <row r="8">
      <c r="A8" s="13">
        <v>107.0</v>
      </c>
      <c r="B8" s="8">
        <f t="shared" si="1"/>
        <v>0.7133333333</v>
      </c>
      <c r="C8" s="2">
        <f t="shared" si="2"/>
        <v>127.7819</v>
      </c>
      <c r="D8" s="8">
        <f t="shared" si="3"/>
        <v>0.8518793333</v>
      </c>
      <c r="E8" s="2">
        <f t="shared" si="4"/>
        <v>21</v>
      </c>
      <c r="F8" s="8">
        <f t="shared" si="5"/>
        <v>0.14</v>
      </c>
      <c r="G8" s="2"/>
      <c r="H8" s="2"/>
      <c r="I8" s="1"/>
    </row>
    <row r="9">
      <c r="A9" s="13">
        <v>97.5</v>
      </c>
      <c r="B9" s="8">
        <f t="shared" si="1"/>
        <v>0.65</v>
      </c>
      <c r="C9" s="2">
        <f t="shared" si="2"/>
        <v>122.87325</v>
      </c>
      <c r="D9" s="8">
        <f t="shared" si="3"/>
        <v>0.819155</v>
      </c>
      <c r="E9" s="2">
        <f t="shared" si="4"/>
        <v>25</v>
      </c>
      <c r="F9" s="8">
        <f t="shared" si="5"/>
        <v>0.1666666667</v>
      </c>
      <c r="G9" s="2"/>
      <c r="H9" s="2"/>
      <c r="I9" s="1"/>
    </row>
    <row r="10">
      <c r="A10" s="13">
        <v>97.0</v>
      </c>
      <c r="B10" s="8">
        <f t="shared" si="1"/>
        <v>0.6466666667</v>
      </c>
      <c r="C10" s="2">
        <f t="shared" si="2"/>
        <v>122.6149</v>
      </c>
      <c r="D10" s="8">
        <f t="shared" si="3"/>
        <v>0.8174326667</v>
      </c>
      <c r="E10" s="2">
        <f t="shared" si="4"/>
        <v>26</v>
      </c>
      <c r="F10" s="8">
        <f t="shared" si="5"/>
        <v>0.1733333333</v>
      </c>
      <c r="G10" s="2"/>
      <c r="H10" s="2"/>
      <c r="I10" s="2"/>
    </row>
    <row r="11">
      <c r="A11" s="13">
        <v>115.5</v>
      </c>
      <c r="B11" s="8">
        <f t="shared" si="1"/>
        <v>0.77</v>
      </c>
      <c r="C11" s="2">
        <f t="shared" si="2"/>
        <v>132.17385</v>
      </c>
      <c r="D11" s="8">
        <f t="shared" si="3"/>
        <v>0.881159</v>
      </c>
      <c r="E11" s="2">
        <f t="shared" si="4"/>
        <v>17</v>
      </c>
      <c r="F11" s="8">
        <f t="shared" si="5"/>
        <v>0.1133333333</v>
      </c>
      <c r="G11" s="2"/>
      <c r="H11" s="2"/>
      <c r="I11" s="2"/>
    </row>
    <row r="12">
      <c r="A12" s="13">
        <v>79.0</v>
      </c>
      <c r="B12" s="8">
        <f t="shared" si="1"/>
        <v>0.5266666667</v>
      </c>
      <c r="C12" s="2">
        <f t="shared" si="2"/>
        <v>113.3143</v>
      </c>
      <c r="D12" s="8">
        <f t="shared" si="3"/>
        <v>0.7554286667</v>
      </c>
      <c r="E12" s="2">
        <f t="shared" si="4"/>
        <v>34</v>
      </c>
      <c r="F12" s="8">
        <f t="shared" si="5"/>
        <v>0.2266666667</v>
      </c>
      <c r="G12" s="2"/>
      <c r="H12" s="2"/>
      <c r="I12" s="2"/>
    </row>
    <row r="13">
      <c r="A13" s="13">
        <v>97.5</v>
      </c>
      <c r="B13" s="8">
        <f t="shared" si="1"/>
        <v>0.65</v>
      </c>
      <c r="C13" s="2">
        <f t="shared" si="2"/>
        <v>122.87325</v>
      </c>
      <c r="D13" s="8">
        <f t="shared" si="3"/>
        <v>0.819155</v>
      </c>
      <c r="E13" s="2">
        <f t="shared" si="4"/>
        <v>25</v>
      </c>
      <c r="F13" s="8">
        <f t="shared" si="5"/>
        <v>0.1666666667</v>
      </c>
      <c r="G13" s="2"/>
      <c r="H13" s="2"/>
      <c r="I13" s="2"/>
    </row>
    <row r="14">
      <c r="A14" s="13">
        <v>87.5</v>
      </c>
      <c r="B14" s="8">
        <f t="shared" si="1"/>
        <v>0.5833333333</v>
      </c>
      <c r="C14" s="2">
        <f t="shared" si="2"/>
        <v>117.70625</v>
      </c>
      <c r="D14" s="8">
        <f t="shared" si="3"/>
        <v>0.7847083333</v>
      </c>
      <c r="E14" s="2">
        <f t="shared" si="4"/>
        <v>30</v>
      </c>
      <c r="F14" s="8">
        <f t="shared" si="5"/>
        <v>0.2</v>
      </c>
      <c r="G14" s="2"/>
      <c r="H14" s="2"/>
      <c r="I14" s="2"/>
    </row>
    <row r="15">
      <c r="A15" s="13">
        <v>90.0</v>
      </c>
      <c r="B15" s="8">
        <f t="shared" si="1"/>
        <v>0.6</v>
      </c>
      <c r="C15" s="2">
        <f t="shared" si="2"/>
        <v>118.998</v>
      </c>
      <c r="D15" s="8">
        <f t="shared" si="3"/>
        <v>0.79332</v>
      </c>
      <c r="E15" s="2">
        <f t="shared" si="4"/>
        <v>29</v>
      </c>
      <c r="F15" s="8">
        <f t="shared" si="5"/>
        <v>0.1933333333</v>
      </c>
      <c r="G15" s="2"/>
      <c r="H15" s="2"/>
      <c r="I15" s="2"/>
    </row>
    <row r="16">
      <c r="A16" s="13">
        <v>75.0</v>
      </c>
      <c r="B16" s="8">
        <f t="shared" si="1"/>
        <v>0.5</v>
      </c>
      <c r="C16" s="2">
        <f t="shared" si="2"/>
        <v>111.2475</v>
      </c>
      <c r="D16" s="8">
        <f t="shared" si="3"/>
        <v>0.74165</v>
      </c>
      <c r="E16" s="2">
        <f t="shared" si="4"/>
        <v>36</v>
      </c>
      <c r="F16" s="8">
        <f t="shared" si="5"/>
        <v>0.24</v>
      </c>
      <c r="G16" s="2"/>
      <c r="H16" s="2"/>
      <c r="I16" s="2"/>
    </row>
    <row r="17">
      <c r="A17" s="13">
        <v>127.0</v>
      </c>
      <c r="B17" s="8">
        <f t="shared" si="1"/>
        <v>0.8466666667</v>
      </c>
      <c r="C17" s="2">
        <f t="shared" si="2"/>
        <v>138.1159</v>
      </c>
      <c r="D17" s="8">
        <f t="shared" si="3"/>
        <v>0.9207726667</v>
      </c>
      <c r="E17" s="2">
        <f t="shared" si="4"/>
        <v>11</v>
      </c>
      <c r="F17" s="8">
        <f t="shared" si="5"/>
        <v>0.07333333333</v>
      </c>
      <c r="G17" s="2"/>
      <c r="H17" s="2"/>
      <c r="I17" s="2"/>
    </row>
    <row r="18">
      <c r="A18" s="13">
        <v>107.5</v>
      </c>
      <c r="B18" s="8">
        <f t="shared" si="1"/>
        <v>0.7166666667</v>
      </c>
      <c r="C18" s="2">
        <f t="shared" si="2"/>
        <v>128.04025</v>
      </c>
      <c r="D18" s="8">
        <f t="shared" si="3"/>
        <v>0.8536016667</v>
      </c>
      <c r="E18" s="2">
        <f t="shared" si="4"/>
        <v>21</v>
      </c>
      <c r="F18" s="8">
        <f t="shared" si="5"/>
        <v>0.14</v>
      </c>
      <c r="G18" s="2"/>
      <c r="H18" s="2"/>
      <c r="I18" s="2"/>
    </row>
    <row r="19">
      <c r="A19" s="13">
        <v>89.0</v>
      </c>
      <c r="B19" s="8">
        <f t="shared" si="1"/>
        <v>0.5933333333</v>
      </c>
      <c r="C19" s="2">
        <f t="shared" si="2"/>
        <v>118.4813</v>
      </c>
      <c r="D19" s="8">
        <f t="shared" si="3"/>
        <v>0.7898753333</v>
      </c>
      <c r="E19" s="2">
        <f t="shared" si="4"/>
        <v>29</v>
      </c>
      <c r="F19" s="8">
        <f t="shared" si="5"/>
        <v>0.1933333333</v>
      </c>
      <c r="G19" s="2"/>
      <c r="H19" s="2"/>
      <c r="I19" s="2"/>
    </row>
    <row r="20">
      <c r="A20" s="13">
        <v>97.5</v>
      </c>
      <c r="B20" s="8">
        <f t="shared" si="1"/>
        <v>0.65</v>
      </c>
      <c r="C20" s="2">
        <f t="shared" si="2"/>
        <v>122.87325</v>
      </c>
      <c r="D20" s="8">
        <f t="shared" si="3"/>
        <v>0.819155</v>
      </c>
      <c r="E20" s="2">
        <f t="shared" si="4"/>
        <v>25</v>
      </c>
      <c r="F20" s="8">
        <f t="shared" si="5"/>
        <v>0.1666666667</v>
      </c>
      <c r="G20" s="2"/>
      <c r="H20" s="2"/>
      <c r="I20" s="2"/>
    </row>
    <row r="21">
      <c r="A21" s="13">
        <v>66.0</v>
      </c>
      <c r="B21" s="8">
        <f t="shared" si="1"/>
        <v>0.44</v>
      </c>
      <c r="C21" s="2">
        <f t="shared" si="2"/>
        <v>106.5972</v>
      </c>
      <c r="D21" s="8">
        <f t="shared" si="3"/>
        <v>0.710648</v>
      </c>
      <c r="E21" s="2">
        <f t="shared" si="4"/>
        <v>41</v>
      </c>
      <c r="F21" s="8">
        <f t="shared" si="5"/>
        <v>0.2733333333</v>
      </c>
      <c r="G21" s="2"/>
      <c r="H21" s="2"/>
      <c r="I21" s="2"/>
    </row>
    <row r="22">
      <c r="A22" s="13">
        <v>89.0</v>
      </c>
      <c r="B22" s="8">
        <f t="shared" si="1"/>
        <v>0.5933333333</v>
      </c>
      <c r="C22" s="2">
        <f t="shared" si="2"/>
        <v>118.4813</v>
      </c>
      <c r="D22" s="8">
        <f t="shared" si="3"/>
        <v>0.7898753333</v>
      </c>
      <c r="E22" s="2">
        <f t="shared" si="4"/>
        <v>29</v>
      </c>
      <c r="F22" s="8">
        <f t="shared" si="5"/>
        <v>0.1933333333</v>
      </c>
      <c r="G22" s="2"/>
      <c r="H22" s="2"/>
      <c r="I22" s="2"/>
    </row>
    <row r="23">
      <c r="A23" s="13">
        <v>96.5</v>
      </c>
      <c r="B23" s="8">
        <f t="shared" si="1"/>
        <v>0.6433333333</v>
      </c>
      <c r="C23" s="2">
        <f t="shared" si="2"/>
        <v>122.35655</v>
      </c>
      <c r="D23" s="8">
        <f t="shared" si="3"/>
        <v>0.8157103333</v>
      </c>
      <c r="E23" s="2">
        <f t="shared" si="4"/>
        <v>26</v>
      </c>
      <c r="F23" s="8">
        <f t="shared" si="5"/>
        <v>0.1733333333</v>
      </c>
      <c r="G23" s="2"/>
      <c r="H23" s="2"/>
      <c r="I23" s="2"/>
    </row>
    <row r="24">
      <c r="A24" s="13">
        <v>77.0</v>
      </c>
      <c r="B24" s="8">
        <f t="shared" si="1"/>
        <v>0.5133333333</v>
      </c>
      <c r="C24" s="2">
        <f t="shared" si="2"/>
        <v>112.2809</v>
      </c>
      <c r="D24" s="8">
        <f t="shared" si="3"/>
        <v>0.7485393333</v>
      </c>
      <c r="E24" s="2">
        <f t="shared" si="4"/>
        <v>35</v>
      </c>
      <c r="F24" s="8">
        <f t="shared" si="5"/>
        <v>0.2333333333</v>
      </c>
      <c r="G24" s="2"/>
      <c r="H24" s="2"/>
      <c r="I24" s="2"/>
    </row>
    <row r="25">
      <c r="A25" s="13">
        <v>107.5</v>
      </c>
      <c r="B25" s="8">
        <f t="shared" si="1"/>
        <v>0.7166666667</v>
      </c>
      <c r="C25" s="2">
        <f t="shared" si="2"/>
        <v>128.04025</v>
      </c>
      <c r="D25" s="8">
        <f t="shared" si="3"/>
        <v>0.8536016667</v>
      </c>
      <c r="E25" s="2">
        <f t="shared" si="4"/>
        <v>21</v>
      </c>
      <c r="F25" s="8">
        <f t="shared" si="5"/>
        <v>0.14</v>
      </c>
      <c r="G25" s="2"/>
      <c r="H25" s="2"/>
      <c r="I25" s="2"/>
    </row>
    <row r="26">
      <c r="A26" s="13">
        <v>86.0</v>
      </c>
      <c r="B26" s="8">
        <f t="shared" si="1"/>
        <v>0.5733333333</v>
      </c>
      <c r="C26" s="2">
        <f t="shared" si="2"/>
        <v>116.9312</v>
      </c>
      <c r="D26" s="8">
        <f t="shared" si="3"/>
        <v>0.7795413333</v>
      </c>
      <c r="E26" s="2">
        <f t="shared" si="4"/>
        <v>31</v>
      </c>
      <c r="F26" s="8">
        <f t="shared" si="5"/>
        <v>0.2066666667</v>
      </c>
      <c r="G26" s="2"/>
      <c r="H26" s="2"/>
      <c r="I26" s="2"/>
    </row>
    <row r="27">
      <c r="A27" s="13">
        <v>117.0</v>
      </c>
      <c r="B27" s="8">
        <f t="shared" si="1"/>
        <v>0.78</v>
      </c>
      <c r="C27" s="2">
        <f t="shared" si="2"/>
        <v>132.9489</v>
      </c>
      <c r="D27" s="8">
        <f t="shared" si="3"/>
        <v>0.886326</v>
      </c>
      <c r="E27" s="2">
        <f t="shared" si="4"/>
        <v>16</v>
      </c>
      <c r="F27" s="8">
        <f t="shared" si="5"/>
        <v>0.1066666667</v>
      </c>
      <c r="G27" s="2"/>
      <c r="H27" s="2"/>
      <c r="I27" s="2"/>
    </row>
    <row r="28">
      <c r="A28" s="13">
        <v>88.0</v>
      </c>
      <c r="B28" s="8">
        <f t="shared" si="1"/>
        <v>0.5866666667</v>
      </c>
      <c r="C28" s="2">
        <f t="shared" si="2"/>
        <v>117.9646</v>
      </c>
      <c r="D28" s="8">
        <f t="shared" si="3"/>
        <v>0.7864306667</v>
      </c>
      <c r="E28" s="2">
        <f t="shared" si="4"/>
        <v>30</v>
      </c>
      <c r="F28" s="8">
        <f t="shared" si="5"/>
        <v>0.2</v>
      </c>
      <c r="G28" s="2"/>
      <c r="H28" s="2"/>
      <c r="I28" s="2"/>
    </row>
    <row r="29">
      <c r="A29" s="13">
        <v>77.0</v>
      </c>
      <c r="B29" s="8">
        <f t="shared" si="1"/>
        <v>0.5133333333</v>
      </c>
      <c r="C29" s="2">
        <f t="shared" si="2"/>
        <v>112.2809</v>
      </c>
      <c r="D29" s="8">
        <f t="shared" si="3"/>
        <v>0.7485393333</v>
      </c>
      <c r="E29" s="2">
        <f t="shared" si="4"/>
        <v>35</v>
      </c>
      <c r="F29" s="8">
        <f t="shared" si="5"/>
        <v>0.2333333333</v>
      </c>
      <c r="G29" s="2"/>
      <c r="H29" s="2"/>
      <c r="I29" s="2"/>
    </row>
    <row r="30">
      <c r="A30" s="13">
        <v>67.0</v>
      </c>
      <c r="B30" s="8">
        <f t="shared" si="1"/>
        <v>0.4466666667</v>
      </c>
      <c r="C30" s="2">
        <f t="shared" si="2"/>
        <v>107.1139</v>
      </c>
      <c r="D30" s="8">
        <f t="shared" si="3"/>
        <v>0.7140926667</v>
      </c>
      <c r="E30" s="2">
        <f t="shared" si="4"/>
        <v>40</v>
      </c>
      <c r="F30" s="8">
        <f t="shared" si="5"/>
        <v>0.2666666667</v>
      </c>
      <c r="G30" s="2"/>
      <c r="H30" s="2"/>
      <c r="I30" s="2"/>
    </row>
    <row r="31">
      <c r="A31" s="13">
        <v>96.5</v>
      </c>
      <c r="B31" s="8">
        <f t="shared" si="1"/>
        <v>0.6433333333</v>
      </c>
      <c r="C31" s="2">
        <f t="shared" si="2"/>
        <v>122.35655</v>
      </c>
      <c r="D31" s="8">
        <f t="shared" si="3"/>
        <v>0.8157103333</v>
      </c>
      <c r="E31" s="2">
        <f t="shared" si="4"/>
        <v>26</v>
      </c>
      <c r="F31" s="8">
        <f t="shared" si="5"/>
        <v>0.1733333333</v>
      </c>
      <c r="G31" s="2"/>
      <c r="H31" s="2"/>
      <c r="I31" s="2"/>
    </row>
    <row r="32">
      <c r="A32" s="13">
        <v>86.5</v>
      </c>
      <c r="B32" s="8">
        <f t="shared" si="1"/>
        <v>0.5766666667</v>
      </c>
      <c r="C32" s="2">
        <f t="shared" si="2"/>
        <v>117.18955</v>
      </c>
      <c r="D32" s="8">
        <f t="shared" si="3"/>
        <v>0.7812636667</v>
      </c>
      <c r="E32" s="2">
        <f t="shared" si="4"/>
        <v>31</v>
      </c>
      <c r="F32" s="8">
        <f t="shared" si="5"/>
        <v>0.2066666667</v>
      </c>
      <c r="G32" s="2"/>
      <c r="H32" s="2"/>
      <c r="I32" s="2"/>
    </row>
    <row r="33">
      <c r="A33" s="13">
        <v>137.5</v>
      </c>
      <c r="B33" s="8">
        <f t="shared" si="1"/>
        <v>0.9166666667</v>
      </c>
      <c r="C33" s="2">
        <f t="shared" si="2"/>
        <v>143.54125</v>
      </c>
      <c r="D33" s="8">
        <f t="shared" si="3"/>
        <v>0.9569416667</v>
      </c>
      <c r="E33" s="2">
        <f t="shared" si="4"/>
        <v>6</v>
      </c>
      <c r="F33" s="8">
        <f t="shared" si="5"/>
        <v>0.04</v>
      </c>
      <c r="G33" s="2"/>
      <c r="H33" s="2"/>
      <c r="I33" s="2"/>
    </row>
    <row r="34">
      <c r="A34" s="13">
        <v>87.0</v>
      </c>
      <c r="B34" s="8">
        <f t="shared" si="1"/>
        <v>0.58</v>
      </c>
      <c r="C34" s="2">
        <f t="shared" si="2"/>
        <v>117.4479</v>
      </c>
      <c r="D34" s="8">
        <f t="shared" si="3"/>
        <v>0.782986</v>
      </c>
      <c r="E34" s="2">
        <f t="shared" si="4"/>
        <v>30</v>
      </c>
      <c r="F34" s="8">
        <f t="shared" si="5"/>
        <v>0.2</v>
      </c>
      <c r="G34" s="2"/>
      <c r="H34" s="2"/>
      <c r="I34" s="2"/>
    </row>
    <row r="35">
      <c r="A35" s="13">
        <v>75.0</v>
      </c>
      <c r="B35" s="8">
        <f t="shared" si="1"/>
        <v>0.5</v>
      </c>
      <c r="C35" s="2">
        <f t="shared" si="2"/>
        <v>111.2475</v>
      </c>
      <c r="D35" s="8">
        <f t="shared" si="3"/>
        <v>0.74165</v>
      </c>
      <c r="E35" s="2">
        <f t="shared" si="4"/>
        <v>36</v>
      </c>
      <c r="F35" s="8">
        <f t="shared" si="5"/>
        <v>0.24</v>
      </c>
      <c r="G35" s="2"/>
      <c r="H35" s="2"/>
      <c r="I35" s="2"/>
    </row>
    <row r="36">
      <c r="A36" s="13">
        <v>78.0</v>
      </c>
      <c r="B36" s="8">
        <f t="shared" si="1"/>
        <v>0.52</v>
      </c>
      <c r="C36" s="2">
        <f t="shared" si="2"/>
        <v>112.7976</v>
      </c>
      <c r="D36" s="8">
        <f t="shared" si="3"/>
        <v>0.751984</v>
      </c>
      <c r="E36" s="2">
        <f t="shared" si="4"/>
        <v>35</v>
      </c>
      <c r="F36" s="8">
        <f t="shared" si="5"/>
        <v>0.2333333333</v>
      </c>
      <c r="G36" s="2"/>
      <c r="H36" s="2"/>
      <c r="I36" s="2"/>
    </row>
    <row r="37">
      <c r="A37" s="13">
        <v>99.0</v>
      </c>
      <c r="B37" s="8">
        <f t="shared" si="1"/>
        <v>0.66</v>
      </c>
      <c r="C37" s="2">
        <f t="shared" si="2"/>
        <v>123.6483</v>
      </c>
      <c r="D37" s="8">
        <f t="shared" si="3"/>
        <v>0.824322</v>
      </c>
      <c r="E37" s="2">
        <f t="shared" si="4"/>
        <v>25</v>
      </c>
      <c r="F37" s="8">
        <f t="shared" si="5"/>
        <v>0.1666666667</v>
      </c>
      <c r="G37" s="2"/>
      <c r="H37" s="2"/>
      <c r="I37" s="2"/>
    </row>
    <row r="38">
      <c r="A38" s="13">
        <v>107.0</v>
      </c>
      <c r="B38" s="8">
        <f t="shared" si="1"/>
        <v>0.7133333333</v>
      </c>
      <c r="C38" s="2">
        <f t="shared" si="2"/>
        <v>127.7819</v>
      </c>
      <c r="D38" s="8">
        <f t="shared" si="3"/>
        <v>0.8518793333</v>
      </c>
      <c r="E38" s="2">
        <f t="shared" si="4"/>
        <v>21</v>
      </c>
      <c r="F38" s="8">
        <f t="shared" si="5"/>
        <v>0.14</v>
      </c>
      <c r="G38" s="2"/>
      <c r="H38" s="2"/>
      <c r="I38" s="2"/>
    </row>
    <row r="39">
      <c r="A39" s="13">
        <v>59.0</v>
      </c>
      <c r="B39" s="8">
        <f t="shared" si="1"/>
        <v>0.3933333333</v>
      </c>
      <c r="C39" s="2">
        <f t="shared" si="2"/>
        <v>102.9803</v>
      </c>
      <c r="D39" s="8">
        <f t="shared" si="3"/>
        <v>0.6865353333</v>
      </c>
      <c r="E39" s="2">
        <f t="shared" si="4"/>
        <v>44</v>
      </c>
      <c r="F39" s="8">
        <f t="shared" si="5"/>
        <v>0.2933333333</v>
      </c>
      <c r="G39" s="2"/>
      <c r="H39" s="2"/>
      <c r="I39" s="2"/>
    </row>
    <row r="40">
      <c r="A40" s="13">
        <v>99.0</v>
      </c>
      <c r="B40" s="8">
        <f t="shared" si="1"/>
        <v>0.66</v>
      </c>
      <c r="C40" s="2">
        <f t="shared" si="2"/>
        <v>123.6483</v>
      </c>
      <c r="D40" s="8">
        <f t="shared" si="3"/>
        <v>0.824322</v>
      </c>
      <c r="E40" s="2">
        <f t="shared" si="4"/>
        <v>25</v>
      </c>
      <c r="F40" s="8">
        <f t="shared" si="5"/>
        <v>0.1666666667</v>
      </c>
      <c r="G40" s="2"/>
      <c r="H40" s="2"/>
      <c r="I40" s="2"/>
    </row>
    <row r="41">
      <c r="A41" s="13">
        <v>87.0</v>
      </c>
      <c r="B41" s="8">
        <f t="shared" si="1"/>
        <v>0.58</v>
      </c>
      <c r="C41" s="2">
        <f t="shared" si="2"/>
        <v>117.4479</v>
      </c>
      <c r="D41" s="8">
        <f t="shared" si="3"/>
        <v>0.782986</v>
      </c>
      <c r="E41" s="2">
        <f t="shared" si="4"/>
        <v>30</v>
      </c>
      <c r="F41" s="8">
        <f t="shared" si="5"/>
        <v>0.2</v>
      </c>
      <c r="G41" s="2"/>
      <c r="H41" s="2"/>
      <c r="I41" s="2"/>
    </row>
    <row r="42">
      <c r="A42" s="13">
        <v>67.5</v>
      </c>
      <c r="B42" s="8">
        <f t="shared" si="1"/>
        <v>0.45</v>
      </c>
      <c r="C42" s="2">
        <f t="shared" si="2"/>
        <v>107.37225</v>
      </c>
      <c r="D42" s="8">
        <f t="shared" si="3"/>
        <v>0.715815</v>
      </c>
      <c r="E42" s="2">
        <f t="shared" si="4"/>
        <v>40</v>
      </c>
      <c r="F42" s="8">
        <f t="shared" si="5"/>
        <v>0.2666666667</v>
      </c>
      <c r="G42" s="2"/>
      <c r="H42" s="2"/>
      <c r="I42" s="2"/>
    </row>
    <row r="43">
      <c r="A43" s="13">
        <v>85.5</v>
      </c>
      <c r="B43" s="8">
        <f t="shared" si="1"/>
        <v>0.57</v>
      </c>
      <c r="C43" s="2">
        <f t="shared" si="2"/>
        <v>116.67285</v>
      </c>
      <c r="D43" s="8">
        <f t="shared" si="3"/>
        <v>0.777819</v>
      </c>
      <c r="E43" s="2">
        <f t="shared" si="4"/>
        <v>31</v>
      </c>
      <c r="F43" s="8">
        <f t="shared" si="5"/>
        <v>0.2066666667</v>
      </c>
      <c r="G43" s="2"/>
      <c r="H43" s="2"/>
      <c r="I43" s="2"/>
    </row>
    <row r="44">
      <c r="A44" s="13">
        <v>97.0</v>
      </c>
      <c r="B44" s="8">
        <f t="shared" si="1"/>
        <v>0.6466666667</v>
      </c>
      <c r="C44" s="2">
        <f t="shared" si="2"/>
        <v>122.6149</v>
      </c>
      <c r="D44" s="8">
        <f t="shared" si="3"/>
        <v>0.8174326667</v>
      </c>
      <c r="E44" s="2">
        <f t="shared" si="4"/>
        <v>26</v>
      </c>
      <c r="F44" s="8">
        <f t="shared" si="5"/>
        <v>0.1733333333</v>
      </c>
      <c r="G44" s="2"/>
      <c r="H44" s="2"/>
      <c r="I44" s="2"/>
    </row>
    <row r="45">
      <c r="A45" s="13">
        <v>105.0</v>
      </c>
      <c r="B45" s="8">
        <f t="shared" si="1"/>
        <v>0.7</v>
      </c>
      <c r="C45" s="2">
        <f t="shared" si="2"/>
        <v>126.7485</v>
      </c>
      <c r="D45" s="8">
        <f t="shared" si="3"/>
        <v>0.84499</v>
      </c>
      <c r="E45" s="2">
        <f t="shared" si="4"/>
        <v>22</v>
      </c>
      <c r="F45" s="8">
        <f t="shared" si="5"/>
        <v>0.1466666667</v>
      </c>
      <c r="G45" s="2"/>
      <c r="H45" s="2"/>
      <c r="I45" s="2"/>
    </row>
    <row r="46">
      <c r="A46" s="13">
        <v>70.0</v>
      </c>
      <c r="B46" s="8">
        <f t="shared" si="1"/>
        <v>0.4666666667</v>
      </c>
      <c r="C46" s="2">
        <f t="shared" si="2"/>
        <v>108.664</v>
      </c>
      <c r="D46" s="8">
        <f t="shared" si="3"/>
        <v>0.7244266667</v>
      </c>
      <c r="E46" s="2">
        <f t="shared" si="4"/>
        <v>39</v>
      </c>
      <c r="F46" s="8">
        <f t="shared" si="5"/>
        <v>0.26</v>
      </c>
      <c r="G46" s="2"/>
      <c r="H46" s="2"/>
      <c r="I46" s="2"/>
    </row>
    <row r="47">
      <c r="A47" s="13">
        <v>117.0</v>
      </c>
      <c r="B47" s="8">
        <f t="shared" si="1"/>
        <v>0.78</v>
      </c>
      <c r="C47" s="2">
        <f t="shared" si="2"/>
        <v>132.9489</v>
      </c>
      <c r="D47" s="8">
        <f t="shared" si="3"/>
        <v>0.886326</v>
      </c>
      <c r="E47" s="2">
        <f t="shared" si="4"/>
        <v>16</v>
      </c>
      <c r="F47" s="8">
        <f t="shared" si="5"/>
        <v>0.1066666667</v>
      </c>
      <c r="G47" s="2"/>
      <c r="H47" s="2"/>
      <c r="I47" s="2"/>
    </row>
    <row r="48">
      <c r="A48" s="13">
        <v>47.0</v>
      </c>
      <c r="B48" s="8">
        <f t="shared" si="1"/>
        <v>0.3133333333</v>
      </c>
      <c r="C48" s="2">
        <f t="shared" si="2"/>
        <v>96.7799</v>
      </c>
      <c r="D48" s="8">
        <f t="shared" si="3"/>
        <v>0.6451993333</v>
      </c>
      <c r="E48" s="2">
        <f t="shared" si="4"/>
        <v>50</v>
      </c>
      <c r="F48" s="8">
        <f t="shared" si="5"/>
        <v>0.3333333333</v>
      </c>
      <c r="G48" s="2"/>
      <c r="H48" s="2"/>
      <c r="I48" s="2"/>
    </row>
    <row r="49">
      <c r="A49" s="13">
        <v>107.5</v>
      </c>
      <c r="B49" s="8">
        <f t="shared" si="1"/>
        <v>0.7166666667</v>
      </c>
      <c r="C49" s="2">
        <f t="shared" si="2"/>
        <v>128.04025</v>
      </c>
      <c r="D49" s="8">
        <f t="shared" si="3"/>
        <v>0.8536016667</v>
      </c>
      <c r="E49" s="2">
        <f t="shared" si="4"/>
        <v>21</v>
      </c>
      <c r="F49" s="8">
        <f t="shared" si="5"/>
        <v>0.14</v>
      </c>
      <c r="G49" s="2"/>
      <c r="H49" s="2"/>
      <c r="I49" s="2"/>
    </row>
    <row r="50">
      <c r="A50" s="13">
        <v>89.5</v>
      </c>
      <c r="B50" s="8">
        <f t="shared" si="1"/>
        <v>0.5966666667</v>
      </c>
      <c r="C50" s="2">
        <f t="shared" si="2"/>
        <v>118.73965</v>
      </c>
      <c r="D50" s="8">
        <f t="shared" si="3"/>
        <v>0.7915976667</v>
      </c>
      <c r="E50" s="2">
        <f t="shared" si="4"/>
        <v>29</v>
      </c>
      <c r="F50" s="8">
        <f t="shared" si="5"/>
        <v>0.1933333333</v>
      </c>
      <c r="G50" s="2"/>
      <c r="H50" s="2"/>
      <c r="I50" s="2"/>
    </row>
    <row r="51">
      <c r="A51" s="13">
        <v>67.0</v>
      </c>
      <c r="B51" s="8">
        <f t="shared" si="1"/>
        <v>0.4466666667</v>
      </c>
      <c r="C51" s="2">
        <f t="shared" si="2"/>
        <v>107.1139</v>
      </c>
      <c r="D51" s="8">
        <f t="shared" si="3"/>
        <v>0.7140926667</v>
      </c>
      <c r="E51" s="2">
        <f t="shared" si="4"/>
        <v>40</v>
      </c>
      <c r="F51" s="8">
        <f t="shared" si="5"/>
        <v>0.2666666667</v>
      </c>
      <c r="G51" s="2"/>
      <c r="H51" s="2"/>
      <c r="I51" s="2"/>
    </row>
    <row r="52">
      <c r="A52" s="13">
        <v>85.0</v>
      </c>
      <c r="B52" s="8">
        <f t="shared" si="1"/>
        <v>0.5666666667</v>
      </c>
      <c r="C52" s="2">
        <f t="shared" si="2"/>
        <v>116.4145</v>
      </c>
      <c r="D52" s="8">
        <f t="shared" si="3"/>
        <v>0.7760966667</v>
      </c>
      <c r="E52" s="2">
        <f t="shared" si="4"/>
        <v>31</v>
      </c>
      <c r="F52" s="8">
        <f t="shared" si="5"/>
        <v>0.2066666667</v>
      </c>
      <c r="G52" s="2"/>
      <c r="H52" s="2"/>
      <c r="I52" s="2"/>
    </row>
    <row r="53">
      <c r="A53" s="13">
        <v>66.5</v>
      </c>
      <c r="B53" s="8">
        <f t="shared" si="1"/>
        <v>0.4433333333</v>
      </c>
      <c r="C53" s="2">
        <f t="shared" si="2"/>
        <v>106.85555</v>
      </c>
      <c r="D53" s="8">
        <f t="shared" si="3"/>
        <v>0.7123703333</v>
      </c>
      <c r="E53" s="2">
        <f t="shared" si="4"/>
        <v>40</v>
      </c>
      <c r="F53" s="8">
        <f t="shared" si="5"/>
        <v>0.2666666667</v>
      </c>
      <c r="G53" s="2"/>
      <c r="H53" s="2"/>
      <c r="I53" s="2"/>
    </row>
    <row r="54">
      <c r="A54" s="13">
        <v>87.0</v>
      </c>
      <c r="B54" s="8">
        <f t="shared" si="1"/>
        <v>0.58</v>
      </c>
      <c r="C54" s="2">
        <f t="shared" si="2"/>
        <v>117.4479</v>
      </c>
      <c r="D54" s="8">
        <f t="shared" si="3"/>
        <v>0.782986</v>
      </c>
      <c r="E54" s="2">
        <f t="shared" si="4"/>
        <v>30</v>
      </c>
      <c r="F54" s="8">
        <f t="shared" si="5"/>
        <v>0.2</v>
      </c>
      <c r="G54" s="2"/>
      <c r="H54" s="2"/>
      <c r="I54" s="2"/>
    </row>
    <row r="55">
      <c r="A55" s="13">
        <v>67.0</v>
      </c>
      <c r="B55" s="8">
        <f t="shared" si="1"/>
        <v>0.4466666667</v>
      </c>
      <c r="C55" s="2">
        <f t="shared" si="2"/>
        <v>107.1139</v>
      </c>
      <c r="D55" s="8">
        <f t="shared" si="3"/>
        <v>0.7140926667</v>
      </c>
      <c r="E55" s="2">
        <f t="shared" si="4"/>
        <v>40</v>
      </c>
      <c r="F55" s="8">
        <f t="shared" si="5"/>
        <v>0.2666666667</v>
      </c>
      <c r="G55" s="2"/>
      <c r="H55" s="2"/>
      <c r="I55" s="2"/>
    </row>
    <row r="56">
      <c r="A56" s="13">
        <v>78.0</v>
      </c>
      <c r="B56" s="8">
        <f t="shared" si="1"/>
        <v>0.52</v>
      </c>
      <c r="C56" s="2">
        <f t="shared" si="2"/>
        <v>112.7976</v>
      </c>
      <c r="D56" s="8">
        <f t="shared" si="3"/>
        <v>0.751984</v>
      </c>
      <c r="E56" s="2">
        <f t="shared" si="4"/>
        <v>35</v>
      </c>
      <c r="F56" s="8">
        <f t="shared" si="5"/>
        <v>0.2333333333</v>
      </c>
      <c r="G56" s="2"/>
      <c r="H56" s="2"/>
      <c r="I56" s="2"/>
    </row>
    <row r="57">
      <c r="A57" s="13">
        <v>97.0</v>
      </c>
      <c r="B57" s="8">
        <f t="shared" si="1"/>
        <v>0.6466666667</v>
      </c>
      <c r="C57" s="2">
        <f t="shared" si="2"/>
        <v>122.6149</v>
      </c>
      <c r="D57" s="8">
        <f t="shared" si="3"/>
        <v>0.8174326667</v>
      </c>
      <c r="E57" s="2">
        <f t="shared" si="4"/>
        <v>26</v>
      </c>
      <c r="F57" s="8">
        <f t="shared" si="5"/>
        <v>0.1733333333</v>
      </c>
      <c r="G57" s="2"/>
      <c r="H57" s="2"/>
      <c r="I57" s="2"/>
    </row>
    <row r="58">
      <c r="A58" s="13">
        <v>95.0</v>
      </c>
      <c r="B58" s="8">
        <f t="shared" si="1"/>
        <v>0.6333333333</v>
      </c>
      <c r="C58" s="2">
        <f t="shared" si="2"/>
        <v>121.5815</v>
      </c>
      <c r="D58" s="8">
        <f t="shared" si="3"/>
        <v>0.8105433333</v>
      </c>
      <c r="E58" s="2">
        <f t="shared" si="4"/>
        <v>27</v>
      </c>
      <c r="F58" s="8">
        <f t="shared" si="5"/>
        <v>0.18</v>
      </c>
      <c r="G58" s="2"/>
      <c r="H58" s="2"/>
      <c r="I58" s="2"/>
    </row>
    <row r="59">
      <c r="A59" s="13">
        <v>78.0</v>
      </c>
      <c r="B59" s="8">
        <f t="shared" si="1"/>
        <v>0.52</v>
      </c>
      <c r="C59" s="2">
        <f t="shared" si="2"/>
        <v>112.7976</v>
      </c>
      <c r="D59" s="8">
        <f t="shared" si="3"/>
        <v>0.751984</v>
      </c>
      <c r="E59" s="2">
        <f t="shared" si="4"/>
        <v>35</v>
      </c>
      <c r="F59" s="8">
        <f t="shared" si="5"/>
        <v>0.2333333333</v>
      </c>
      <c r="G59" s="2"/>
      <c r="H59" s="2"/>
      <c r="I59" s="2"/>
    </row>
    <row r="60">
      <c r="A60" s="13">
        <v>137.0</v>
      </c>
      <c r="B60" s="8">
        <f t="shared" si="1"/>
        <v>0.9133333333</v>
      </c>
      <c r="C60" s="2">
        <f t="shared" si="2"/>
        <v>143.2829</v>
      </c>
      <c r="D60" s="8">
        <f t="shared" si="3"/>
        <v>0.9552193333</v>
      </c>
      <c r="E60" s="2">
        <f t="shared" si="4"/>
        <v>6</v>
      </c>
      <c r="F60" s="8">
        <f t="shared" si="5"/>
        <v>0.04</v>
      </c>
      <c r="G60" s="2"/>
      <c r="H60" s="2"/>
    </row>
    <row r="61">
      <c r="A61" s="13">
        <v>74.0</v>
      </c>
      <c r="B61" s="8">
        <f t="shared" si="1"/>
        <v>0.4933333333</v>
      </c>
      <c r="C61" s="2">
        <f t="shared" si="2"/>
        <v>110.7308</v>
      </c>
      <c r="D61" s="8">
        <f t="shared" si="3"/>
        <v>0.7382053333</v>
      </c>
      <c r="E61" s="2">
        <f t="shared" si="4"/>
        <v>37</v>
      </c>
      <c r="F61" s="8">
        <f t="shared" si="5"/>
        <v>0.2466666667</v>
      </c>
      <c r="G61" s="2"/>
      <c r="H61" s="2"/>
    </row>
    <row r="62">
      <c r="A62" s="14"/>
      <c r="B62" s="8">
        <f>AVERAGE(B3:B61)</f>
        <v>0.6129943503</v>
      </c>
      <c r="C62" s="2"/>
      <c r="D62" s="2"/>
      <c r="E62" s="2"/>
      <c r="F62" s="2"/>
      <c r="G62" s="2"/>
      <c r="H62" s="2"/>
    </row>
    <row r="63">
      <c r="A63" s="15"/>
    </row>
    <row r="64">
      <c r="A64" s="16"/>
    </row>
    <row r="65">
      <c r="A65" s="15"/>
    </row>
    <row r="66">
      <c r="A66" s="16"/>
    </row>
    <row r="67">
      <c r="A67" s="15"/>
    </row>
    <row r="68">
      <c r="A68" s="16"/>
    </row>
    <row r="69">
      <c r="A69" s="15"/>
    </row>
    <row r="70">
      <c r="A70" s="16"/>
    </row>
    <row r="71">
      <c r="A71" s="15"/>
    </row>
    <row r="72">
      <c r="A72" s="16"/>
    </row>
    <row r="73">
      <c r="A73" s="15"/>
    </row>
    <row r="74">
      <c r="A74" s="16"/>
    </row>
    <row r="75">
      <c r="A75" s="15"/>
    </row>
    <row r="76">
      <c r="A76" s="16"/>
    </row>
    <row r="77">
      <c r="A77" s="15"/>
    </row>
    <row r="78">
      <c r="A78" s="16"/>
    </row>
    <row r="79">
      <c r="A79" s="15"/>
    </row>
    <row r="80">
      <c r="A80" s="16"/>
    </row>
    <row r="81">
      <c r="A81" s="15"/>
    </row>
    <row r="82">
      <c r="A82" s="16"/>
    </row>
    <row r="83">
      <c r="A83" s="15"/>
    </row>
    <row r="84">
      <c r="A84" s="16"/>
    </row>
    <row r="85">
      <c r="A85" s="15"/>
    </row>
    <row r="86">
      <c r="A86" s="16"/>
    </row>
    <row r="87">
      <c r="A87" s="17" t="s">
        <v>39</v>
      </c>
      <c r="B87" s="17" t="s">
        <v>40</v>
      </c>
      <c r="C87" s="17" t="s">
        <v>41</v>
      </c>
      <c r="D87" s="17" t="s">
        <v>42</v>
      </c>
      <c r="E87" s="17" t="s">
        <v>10</v>
      </c>
      <c r="F87" s="17" t="s">
        <v>11</v>
      </c>
      <c r="G87" s="17" t="s">
        <v>12</v>
      </c>
      <c r="H87" s="17" t="s">
        <v>13</v>
      </c>
      <c r="I87" s="17" t="s">
        <v>14</v>
      </c>
      <c r="J87" s="17" t="s">
        <v>15</v>
      </c>
      <c r="K87" s="17" t="s">
        <v>16</v>
      </c>
      <c r="L87" s="17" t="s">
        <v>17</v>
      </c>
      <c r="M87" s="17" t="s">
        <v>18</v>
      </c>
      <c r="N87" s="17" t="s">
        <v>19</v>
      </c>
      <c r="O87" s="17" t="s">
        <v>20</v>
      </c>
      <c r="P87" s="17" t="s">
        <v>21</v>
      </c>
      <c r="Q87" s="17" t="s">
        <v>22</v>
      </c>
      <c r="R87" s="17" t="s">
        <v>23</v>
      </c>
      <c r="S87" s="17" t="s">
        <v>24</v>
      </c>
      <c r="T87" s="17" t="s">
        <v>25</v>
      </c>
      <c r="U87" s="17" t="s">
        <v>26</v>
      </c>
      <c r="V87" s="17" t="s">
        <v>27</v>
      </c>
      <c r="W87" s="17" t="s">
        <v>43</v>
      </c>
    </row>
    <row r="88">
      <c r="A88" s="17" t="s">
        <v>44</v>
      </c>
      <c r="B88" s="17" t="s">
        <v>45</v>
      </c>
      <c r="C88" s="17" t="s">
        <v>46</v>
      </c>
      <c r="D88" s="15">
        <v>139.5</v>
      </c>
      <c r="E88" s="15">
        <v>2.0</v>
      </c>
      <c r="F88" s="15">
        <v>2.0</v>
      </c>
      <c r="G88" s="15">
        <v>2.0</v>
      </c>
      <c r="H88" s="15">
        <v>2.0</v>
      </c>
      <c r="I88" s="15">
        <v>2.0</v>
      </c>
      <c r="J88" s="15">
        <v>10.0</v>
      </c>
      <c r="K88" s="15">
        <v>10.0</v>
      </c>
      <c r="L88" s="15">
        <v>10.0</v>
      </c>
      <c r="M88" s="15">
        <v>0.0</v>
      </c>
      <c r="N88" s="15">
        <v>10.0</v>
      </c>
      <c r="O88" s="15">
        <v>10.0</v>
      </c>
      <c r="P88" s="15">
        <v>10.0</v>
      </c>
      <c r="Q88" s="15">
        <v>10.0</v>
      </c>
      <c r="R88" s="15">
        <v>10.0</v>
      </c>
      <c r="S88" s="15">
        <v>10.0</v>
      </c>
      <c r="T88" s="15">
        <v>10.0</v>
      </c>
      <c r="U88" s="15">
        <v>10.0</v>
      </c>
      <c r="V88" s="15">
        <v>10.0</v>
      </c>
      <c r="W88" s="17">
        <v>9.5</v>
      </c>
    </row>
    <row r="89">
      <c r="A89" s="17" t="s">
        <v>47</v>
      </c>
      <c r="B89" s="17" t="s">
        <v>48</v>
      </c>
      <c r="C89" s="17" t="s">
        <v>49</v>
      </c>
      <c r="D89" s="15">
        <v>127.5</v>
      </c>
      <c r="E89" s="15">
        <v>2.0</v>
      </c>
      <c r="F89" s="15">
        <v>2.0</v>
      </c>
      <c r="G89" s="15">
        <v>2.0</v>
      </c>
      <c r="H89" s="15">
        <v>0.0</v>
      </c>
      <c r="I89" s="15">
        <v>2.0</v>
      </c>
      <c r="J89" s="15">
        <v>10.0</v>
      </c>
      <c r="K89" s="15">
        <v>10.0</v>
      </c>
      <c r="L89" s="15">
        <v>10.0</v>
      </c>
      <c r="M89" s="15">
        <v>10.0</v>
      </c>
      <c r="N89" s="15">
        <v>0.0</v>
      </c>
      <c r="O89" s="15">
        <v>0.0</v>
      </c>
      <c r="P89" s="15">
        <v>10.0</v>
      </c>
      <c r="Q89" s="15">
        <v>10.0</v>
      </c>
      <c r="R89" s="15">
        <v>10.0</v>
      </c>
      <c r="S89" s="15">
        <v>10.0</v>
      </c>
      <c r="T89" s="15">
        <v>10.0</v>
      </c>
      <c r="U89" s="15">
        <v>10.0</v>
      </c>
      <c r="V89" s="15">
        <v>10.0</v>
      </c>
      <c r="W89" s="17">
        <v>9.5</v>
      </c>
    </row>
    <row r="90">
      <c r="A90" s="17" t="s">
        <v>50</v>
      </c>
      <c r="B90" s="17" t="s">
        <v>51</v>
      </c>
      <c r="C90" s="17" t="s">
        <v>52</v>
      </c>
      <c r="D90" s="15">
        <v>126.5</v>
      </c>
      <c r="E90" s="15">
        <v>2.0</v>
      </c>
      <c r="F90" s="15">
        <v>0.0</v>
      </c>
      <c r="G90" s="15">
        <v>2.0</v>
      </c>
      <c r="H90" s="15">
        <v>2.0</v>
      </c>
      <c r="I90" s="15">
        <v>2.0</v>
      </c>
      <c r="J90" s="15">
        <v>10.0</v>
      </c>
      <c r="K90" s="15">
        <v>10.0</v>
      </c>
      <c r="L90" s="15">
        <v>10.0</v>
      </c>
      <c r="M90" s="15">
        <v>10.0</v>
      </c>
      <c r="N90" s="15">
        <v>10.0</v>
      </c>
      <c r="O90" s="15">
        <v>0.0</v>
      </c>
      <c r="P90" s="15">
        <v>10.0</v>
      </c>
      <c r="Q90" s="15">
        <v>10.0</v>
      </c>
      <c r="R90" s="15">
        <v>10.0</v>
      </c>
      <c r="S90" s="15">
        <v>10.0</v>
      </c>
      <c r="T90" s="15">
        <v>10.0</v>
      </c>
      <c r="U90" s="15">
        <v>10.0</v>
      </c>
      <c r="V90" s="15">
        <v>0.0</v>
      </c>
      <c r="W90" s="17">
        <v>8.5</v>
      </c>
    </row>
    <row r="91">
      <c r="A91" s="17" t="s">
        <v>53</v>
      </c>
      <c r="B91" s="17" t="s">
        <v>54</v>
      </c>
      <c r="C91" s="17" t="s">
        <v>55</v>
      </c>
      <c r="D91" s="15">
        <v>77.0</v>
      </c>
      <c r="E91" s="15">
        <v>2.0</v>
      </c>
      <c r="F91" s="15">
        <v>0.0</v>
      </c>
      <c r="G91" s="15">
        <v>2.0</v>
      </c>
      <c r="H91" s="15">
        <v>2.0</v>
      </c>
      <c r="I91" s="15">
        <v>2.0</v>
      </c>
      <c r="J91" s="15">
        <v>10.0</v>
      </c>
      <c r="K91" s="15">
        <v>0.0</v>
      </c>
      <c r="L91" s="15">
        <v>10.0</v>
      </c>
      <c r="M91" s="15">
        <v>10.0</v>
      </c>
      <c r="N91" s="15">
        <v>10.0</v>
      </c>
      <c r="O91" s="15">
        <v>0.0</v>
      </c>
      <c r="P91" s="15">
        <v>0.0</v>
      </c>
      <c r="Q91" s="15">
        <v>0.0</v>
      </c>
      <c r="R91" s="15">
        <v>0.0</v>
      </c>
      <c r="S91" s="15">
        <v>10.0</v>
      </c>
      <c r="T91" s="15">
        <v>0.0</v>
      </c>
      <c r="U91" s="15">
        <v>10.0</v>
      </c>
      <c r="V91" s="17" t="s">
        <v>29</v>
      </c>
      <c r="W91" s="17">
        <v>9.0</v>
      </c>
    </row>
    <row r="92">
      <c r="A92" s="17" t="s">
        <v>56</v>
      </c>
      <c r="B92" s="17" t="s">
        <v>57</v>
      </c>
      <c r="C92" s="17" t="s">
        <v>58</v>
      </c>
      <c r="D92" s="15">
        <v>87.5</v>
      </c>
      <c r="E92" s="15">
        <v>2.0</v>
      </c>
      <c r="F92" s="15">
        <v>0.0</v>
      </c>
      <c r="G92" s="15">
        <v>2.0</v>
      </c>
      <c r="H92" s="15">
        <v>2.0</v>
      </c>
      <c r="I92" s="15">
        <v>2.0</v>
      </c>
      <c r="J92" s="15">
        <v>0.0</v>
      </c>
      <c r="K92" s="15">
        <v>0.0</v>
      </c>
      <c r="L92" s="15">
        <v>10.0</v>
      </c>
      <c r="M92" s="15">
        <v>0.0</v>
      </c>
      <c r="N92" s="15">
        <v>10.0</v>
      </c>
      <c r="O92" s="15">
        <v>0.0</v>
      </c>
      <c r="P92" s="15">
        <v>10.0</v>
      </c>
      <c r="Q92" s="15">
        <v>10.0</v>
      </c>
      <c r="R92" s="15">
        <v>10.0</v>
      </c>
      <c r="S92" s="15">
        <v>10.0</v>
      </c>
      <c r="T92" s="15">
        <v>0.0</v>
      </c>
      <c r="U92" s="15">
        <v>10.0</v>
      </c>
      <c r="V92" s="15">
        <v>0.0</v>
      </c>
      <c r="W92" s="17">
        <v>9.5</v>
      </c>
    </row>
    <row r="93">
      <c r="A93" s="17" t="s">
        <v>59</v>
      </c>
      <c r="B93" s="17" t="s">
        <v>60</v>
      </c>
      <c r="C93" s="17" t="s">
        <v>61</v>
      </c>
      <c r="D93" s="15">
        <v>107.0</v>
      </c>
      <c r="E93" s="15">
        <v>2.0</v>
      </c>
      <c r="F93" s="15">
        <v>0.0</v>
      </c>
      <c r="G93" s="15">
        <v>2.0</v>
      </c>
      <c r="H93" s="15">
        <v>2.0</v>
      </c>
      <c r="I93" s="15">
        <v>2.0</v>
      </c>
      <c r="J93" s="15">
        <v>10.0</v>
      </c>
      <c r="K93" s="15">
        <v>0.0</v>
      </c>
      <c r="L93" s="15">
        <v>10.0</v>
      </c>
      <c r="M93" s="15">
        <v>10.0</v>
      </c>
      <c r="N93" s="15">
        <v>10.0</v>
      </c>
      <c r="O93" s="15">
        <v>10.0</v>
      </c>
      <c r="P93" s="15">
        <v>0.0</v>
      </c>
      <c r="Q93" s="15">
        <v>10.0</v>
      </c>
      <c r="R93" s="15">
        <v>0.0</v>
      </c>
      <c r="S93" s="15">
        <v>10.0</v>
      </c>
      <c r="T93" s="15">
        <v>0.0</v>
      </c>
      <c r="U93" s="15">
        <v>10.0</v>
      </c>
      <c r="V93" s="15">
        <v>10.0</v>
      </c>
      <c r="W93" s="17">
        <v>9.0</v>
      </c>
    </row>
    <row r="94">
      <c r="A94" s="17" t="s">
        <v>62</v>
      </c>
      <c r="B94" s="17" t="s">
        <v>63</v>
      </c>
      <c r="C94" s="17" t="s">
        <v>64</v>
      </c>
      <c r="D94" s="15">
        <v>97.5</v>
      </c>
      <c r="E94" s="15">
        <v>2.0</v>
      </c>
      <c r="F94" s="15">
        <v>0.0</v>
      </c>
      <c r="G94" s="15">
        <v>2.0</v>
      </c>
      <c r="H94" s="15">
        <v>2.0</v>
      </c>
      <c r="I94" s="15">
        <v>2.0</v>
      </c>
      <c r="J94" s="15">
        <v>10.0</v>
      </c>
      <c r="K94" s="15">
        <v>10.0</v>
      </c>
      <c r="L94" s="15">
        <v>10.0</v>
      </c>
      <c r="M94" s="15">
        <v>0.0</v>
      </c>
      <c r="N94" s="15">
        <v>0.0</v>
      </c>
      <c r="O94" s="15">
        <v>10.0</v>
      </c>
      <c r="P94" s="15">
        <v>0.0</v>
      </c>
      <c r="Q94" s="15">
        <v>10.0</v>
      </c>
      <c r="R94" s="15">
        <v>10.0</v>
      </c>
      <c r="S94" s="15">
        <v>10.0</v>
      </c>
      <c r="T94" s="15">
        <v>0.0</v>
      </c>
      <c r="U94" s="15">
        <v>10.0</v>
      </c>
      <c r="V94" s="15">
        <v>0.0</v>
      </c>
      <c r="W94" s="17">
        <v>9.5</v>
      </c>
    </row>
    <row r="95">
      <c r="A95" s="17" t="s">
        <v>65</v>
      </c>
      <c r="B95" s="17" t="s">
        <v>66</v>
      </c>
      <c r="C95" s="17" t="s">
        <v>67</v>
      </c>
      <c r="D95" s="15">
        <v>97.0</v>
      </c>
      <c r="E95" s="15">
        <v>2.0</v>
      </c>
      <c r="F95" s="15">
        <v>0.0</v>
      </c>
      <c r="G95" s="15">
        <v>2.0</v>
      </c>
      <c r="H95" s="15">
        <v>2.0</v>
      </c>
      <c r="I95" s="15">
        <v>2.0</v>
      </c>
      <c r="J95" s="15">
        <v>10.0</v>
      </c>
      <c r="K95" s="15">
        <v>0.0</v>
      </c>
      <c r="L95" s="15">
        <v>10.0</v>
      </c>
      <c r="M95" s="15">
        <v>10.0</v>
      </c>
      <c r="N95" s="15">
        <v>0.0</v>
      </c>
      <c r="O95" s="15">
        <v>10.0</v>
      </c>
      <c r="P95" s="15">
        <v>10.0</v>
      </c>
      <c r="Q95" s="15">
        <v>10.0</v>
      </c>
      <c r="R95" s="15">
        <v>0.0</v>
      </c>
      <c r="S95" s="15">
        <v>10.0</v>
      </c>
      <c r="T95" s="15">
        <v>0.0</v>
      </c>
      <c r="U95" s="15">
        <v>10.0</v>
      </c>
      <c r="V95" s="15">
        <v>0.0</v>
      </c>
      <c r="W95" s="17">
        <v>9.0</v>
      </c>
    </row>
    <row r="96">
      <c r="A96" s="17" t="s">
        <v>68</v>
      </c>
      <c r="B96" s="17" t="s">
        <v>69</v>
      </c>
      <c r="C96" s="17" t="s">
        <v>70</v>
      </c>
      <c r="D96" s="15">
        <v>115.5</v>
      </c>
      <c r="E96" s="15">
        <v>2.0</v>
      </c>
      <c r="F96" s="15">
        <v>0.0</v>
      </c>
      <c r="G96" s="15">
        <v>2.0</v>
      </c>
      <c r="H96" s="15">
        <v>2.0</v>
      </c>
      <c r="I96" s="15">
        <v>0.0</v>
      </c>
      <c r="J96" s="15">
        <v>10.0</v>
      </c>
      <c r="K96" s="15">
        <v>0.0</v>
      </c>
      <c r="L96" s="15">
        <v>10.0</v>
      </c>
      <c r="M96" s="15">
        <v>0.0</v>
      </c>
      <c r="N96" s="15">
        <v>10.0</v>
      </c>
      <c r="O96" s="15">
        <v>10.0</v>
      </c>
      <c r="P96" s="15">
        <v>10.0</v>
      </c>
      <c r="Q96" s="15">
        <v>10.0</v>
      </c>
      <c r="R96" s="15">
        <v>10.0</v>
      </c>
      <c r="S96" s="15">
        <v>10.0</v>
      </c>
      <c r="T96" s="15">
        <v>0.0</v>
      </c>
      <c r="U96" s="15">
        <v>10.0</v>
      </c>
      <c r="V96" s="15">
        <v>10.0</v>
      </c>
      <c r="W96" s="17">
        <v>9.5</v>
      </c>
    </row>
    <row r="97">
      <c r="A97" s="17" t="s">
        <v>71</v>
      </c>
      <c r="B97" s="17" t="s">
        <v>72</v>
      </c>
      <c r="C97" s="17" t="s">
        <v>73</v>
      </c>
      <c r="D97" s="15">
        <v>79.0</v>
      </c>
      <c r="E97" s="15">
        <v>2.0</v>
      </c>
      <c r="F97" s="15">
        <v>2.0</v>
      </c>
      <c r="G97" s="15">
        <v>2.0</v>
      </c>
      <c r="H97" s="15">
        <v>2.0</v>
      </c>
      <c r="I97" s="15">
        <v>2.0</v>
      </c>
      <c r="J97" s="15">
        <v>10.0</v>
      </c>
      <c r="K97" s="15">
        <v>10.0</v>
      </c>
      <c r="L97" s="15">
        <v>10.0</v>
      </c>
      <c r="M97" s="15">
        <v>0.0</v>
      </c>
      <c r="N97" s="15">
        <v>0.0</v>
      </c>
      <c r="O97" s="15">
        <v>0.0</v>
      </c>
      <c r="P97" s="15">
        <v>10.0</v>
      </c>
      <c r="Q97" s="15">
        <v>10.0</v>
      </c>
      <c r="R97" s="15">
        <v>10.0</v>
      </c>
      <c r="S97" s="15">
        <v>0.0</v>
      </c>
      <c r="T97" s="15">
        <v>0.0</v>
      </c>
      <c r="U97" s="15">
        <v>0.0</v>
      </c>
      <c r="V97" s="15">
        <v>0.0</v>
      </c>
      <c r="W97" s="17">
        <v>9.0</v>
      </c>
    </row>
    <row r="98">
      <c r="A98" s="17" t="s">
        <v>74</v>
      </c>
      <c r="B98" s="17" t="s">
        <v>75</v>
      </c>
      <c r="C98" s="17" t="s">
        <v>76</v>
      </c>
      <c r="D98" s="15">
        <v>97.5</v>
      </c>
      <c r="E98" s="15">
        <v>2.0</v>
      </c>
      <c r="F98" s="15">
        <v>0.0</v>
      </c>
      <c r="G98" s="15">
        <v>2.0</v>
      </c>
      <c r="H98" s="15">
        <v>2.0</v>
      </c>
      <c r="I98" s="15">
        <v>2.0</v>
      </c>
      <c r="J98" s="15">
        <v>0.0</v>
      </c>
      <c r="K98" s="15">
        <v>10.0</v>
      </c>
      <c r="L98" s="15">
        <v>10.0</v>
      </c>
      <c r="M98" s="15">
        <v>10.0</v>
      </c>
      <c r="N98" s="15">
        <v>0.0</v>
      </c>
      <c r="O98" s="15">
        <v>10.0</v>
      </c>
      <c r="P98" s="15">
        <v>10.0</v>
      </c>
      <c r="Q98" s="15">
        <v>0.0</v>
      </c>
      <c r="R98" s="15">
        <v>10.0</v>
      </c>
      <c r="S98" s="15">
        <v>10.0</v>
      </c>
      <c r="T98" s="15">
        <v>0.0</v>
      </c>
      <c r="U98" s="15">
        <v>0.0</v>
      </c>
      <c r="V98" s="15">
        <v>10.0</v>
      </c>
      <c r="W98" s="17">
        <v>9.5</v>
      </c>
    </row>
    <row r="99">
      <c r="A99" s="17" t="s">
        <v>77</v>
      </c>
      <c r="B99" s="17" t="s">
        <v>78</v>
      </c>
      <c r="C99" s="17" t="s">
        <v>79</v>
      </c>
      <c r="D99" s="15">
        <v>87.5</v>
      </c>
      <c r="E99" s="15">
        <v>2.0</v>
      </c>
      <c r="F99" s="15">
        <v>0.0</v>
      </c>
      <c r="G99" s="15">
        <v>2.0</v>
      </c>
      <c r="H99" s="15">
        <v>2.0</v>
      </c>
      <c r="I99" s="15">
        <v>2.0</v>
      </c>
      <c r="J99" s="15">
        <v>10.0</v>
      </c>
      <c r="K99" s="15">
        <v>0.0</v>
      </c>
      <c r="L99" s="15">
        <v>10.0</v>
      </c>
      <c r="M99" s="15">
        <v>10.0</v>
      </c>
      <c r="N99" s="15">
        <v>0.0</v>
      </c>
      <c r="O99" s="15">
        <v>10.0</v>
      </c>
      <c r="P99" s="15">
        <v>0.0</v>
      </c>
      <c r="Q99" s="15">
        <v>0.0</v>
      </c>
      <c r="R99" s="15">
        <v>10.0</v>
      </c>
      <c r="S99" s="15">
        <v>10.0</v>
      </c>
      <c r="T99" s="15">
        <v>0.0</v>
      </c>
      <c r="U99" s="15">
        <v>10.0</v>
      </c>
      <c r="V99" s="15">
        <v>0.0</v>
      </c>
      <c r="W99" s="17">
        <v>9.5</v>
      </c>
    </row>
    <row r="100">
      <c r="A100" s="17" t="s">
        <v>80</v>
      </c>
      <c r="B100" s="17" t="s">
        <v>81</v>
      </c>
      <c r="C100" s="17" t="s">
        <v>82</v>
      </c>
      <c r="D100" s="15">
        <v>90.0</v>
      </c>
      <c r="E100" s="15">
        <v>2.0</v>
      </c>
      <c r="F100" s="15">
        <v>2.0</v>
      </c>
      <c r="G100" s="15">
        <v>2.0</v>
      </c>
      <c r="H100" s="15">
        <v>2.0</v>
      </c>
      <c r="I100" s="15">
        <v>2.0</v>
      </c>
      <c r="J100" s="15">
        <v>10.0</v>
      </c>
      <c r="K100" s="15">
        <v>10.0</v>
      </c>
      <c r="L100" s="15">
        <v>10.0</v>
      </c>
      <c r="M100" s="15">
        <v>0.0</v>
      </c>
      <c r="N100" s="15">
        <v>0.0</v>
      </c>
      <c r="O100" s="15">
        <v>0.0</v>
      </c>
      <c r="P100" s="15">
        <v>10.0</v>
      </c>
      <c r="Q100" s="15">
        <v>10.0</v>
      </c>
      <c r="R100" s="15">
        <v>10.0</v>
      </c>
      <c r="S100" s="15">
        <v>0.0</v>
      </c>
      <c r="T100" s="15">
        <v>0.0</v>
      </c>
      <c r="U100" s="15">
        <v>10.0</v>
      </c>
      <c r="V100" s="15">
        <v>0.0</v>
      </c>
      <c r="W100" s="17">
        <v>10.0</v>
      </c>
    </row>
    <row r="101">
      <c r="A101" s="17" t="s">
        <v>83</v>
      </c>
      <c r="B101" s="17" t="s">
        <v>84</v>
      </c>
      <c r="C101" s="17" t="s">
        <v>85</v>
      </c>
      <c r="D101" s="15">
        <v>75.0</v>
      </c>
      <c r="E101" s="15">
        <v>2.0</v>
      </c>
      <c r="F101" s="15">
        <v>0.0</v>
      </c>
      <c r="G101" s="15">
        <v>0.0</v>
      </c>
      <c r="H101" s="15">
        <v>2.0</v>
      </c>
      <c r="I101" s="15">
        <v>2.0</v>
      </c>
      <c r="J101" s="15">
        <v>10.0</v>
      </c>
      <c r="K101" s="15">
        <v>10.0</v>
      </c>
      <c r="L101" s="15">
        <v>10.0</v>
      </c>
      <c r="M101" s="15">
        <v>0.0</v>
      </c>
      <c r="N101" s="15">
        <v>0.0</v>
      </c>
      <c r="O101" s="15">
        <v>0.0</v>
      </c>
      <c r="P101" s="15">
        <v>0.0</v>
      </c>
      <c r="Q101" s="15">
        <v>10.0</v>
      </c>
      <c r="R101" s="15">
        <v>10.0</v>
      </c>
      <c r="S101" s="15">
        <v>0.0</v>
      </c>
      <c r="T101" s="15">
        <v>0.0</v>
      </c>
      <c r="U101" s="15">
        <v>10.0</v>
      </c>
      <c r="V101" s="15">
        <v>0.0</v>
      </c>
      <c r="W101" s="17">
        <v>9.0</v>
      </c>
    </row>
    <row r="102">
      <c r="A102" s="17" t="s">
        <v>86</v>
      </c>
      <c r="B102" s="17" t="s">
        <v>87</v>
      </c>
      <c r="C102" s="17" t="s">
        <v>88</v>
      </c>
      <c r="D102" s="15">
        <v>127.0</v>
      </c>
      <c r="E102" s="15">
        <v>2.0</v>
      </c>
      <c r="F102" s="15">
        <v>0.0</v>
      </c>
      <c r="G102" s="15">
        <v>2.0</v>
      </c>
      <c r="H102" s="15">
        <v>2.0</v>
      </c>
      <c r="I102" s="15">
        <v>2.0</v>
      </c>
      <c r="J102" s="15">
        <v>10.0</v>
      </c>
      <c r="K102" s="15">
        <v>0.0</v>
      </c>
      <c r="L102" s="15">
        <v>10.0</v>
      </c>
      <c r="M102" s="15">
        <v>10.0</v>
      </c>
      <c r="N102" s="15">
        <v>10.0</v>
      </c>
      <c r="O102" s="15">
        <v>10.0</v>
      </c>
      <c r="P102" s="15">
        <v>10.0</v>
      </c>
      <c r="Q102" s="15">
        <v>10.0</v>
      </c>
      <c r="R102" s="15">
        <v>10.0</v>
      </c>
      <c r="S102" s="15">
        <v>10.0</v>
      </c>
      <c r="T102" s="15">
        <v>10.0</v>
      </c>
      <c r="U102" s="15">
        <v>10.0</v>
      </c>
      <c r="V102" s="15">
        <v>0.0</v>
      </c>
      <c r="W102" s="17">
        <v>9.0</v>
      </c>
    </row>
    <row r="103">
      <c r="A103" s="17" t="s">
        <v>89</v>
      </c>
      <c r="B103" s="17" t="s">
        <v>90</v>
      </c>
      <c r="C103" s="17" t="s">
        <v>55</v>
      </c>
      <c r="D103" s="15">
        <v>107.5</v>
      </c>
      <c r="E103" s="15">
        <v>2.0</v>
      </c>
      <c r="F103" s="15">
        <v>0.0</v>
      </c>
      <c r="G103" s="15">
        <v>2.0</v>
      </c>
      <c r="H103" s="15">
        <v>2.0</v>
      </c>
      <c r="I103" s="15">
        <v>2.0</v>
      </c>
      <c r="J103" s="15">
        <v>10.0</v>
      </c>
      <c r="K103" s="15">
        <v>10.0</v>
      </c>
      <c r="L103" s="15">
        <v>0.0</v>
      </c>
      <c r="M103" s="15">
        <v>0.0</v>
      </c>
      <c r="N103" s="15">
        <v>10.0</v>
      </c>
      <c r="O103" s="15">
        <v>10.0</v>
      </c>
      <c r="P103" s="15">
        <v>0.0</v>
      </c>
      <c r="Q103" s="15">
        <v>10.0</v>
      </c>
      <c r="R103" s="15">
        <v>10.0</v>
      </c>
      <c r="S103" s="15">
        <v>10.0</v>
      </c>
      <c r="T103" s="15">
        <v>10.0</v>
      </c>
      <c r="U103" s="15">
        <v>0.0</v>
      </c>
      <c r="V103" s="15">
        <v>10.0</v>
      </c>
      <c r="W103" s="17">
        <v>9.5</v>
      </c>
    </row>
    <row r="104">
      <c r="A104" s="17" t="s">
        <v>91</v>
      </c>
      <c r="B104" s="17" t="s">
        <v>92</v>
      </c>
      <c r="C104" s="17" t="s">
        <v>93</v>
      </c>
      <c r="D104" s="15">
        <v>89.0</v>
      </c>
      <c r="E104" s="15">
        <v>2.0</v>
      </c>
      <c r="F104" s="15">
        <v>2.0</v>
      </c>
      <c r="G104" s="15">
        <v>2.0</v>
      </c>
      <c r="H104" s="15">
        <v>2.0</v>
      </c>
      <c r="I104" s="15">
        <v>2.0</v>
      </c>
      <c r="J104" s="15">
        <v>10.0</v>
      </c>
      <c r="K104" s="15">
        <v>0.0</v>
      </c>
      <c r="L104" s="15">
        <v>10.0</v>
      </c>
      <c r="M104" s="15">
        <v>0.0</v>
      </c>
      <c r="N104" s="15">
        <v>0.0</v>
      </c>
      <c r="O104" s="15">
        <v>10.0</v>
      </c>
      <c r="P104" s="15">
        <v>0.0</v>
      </c>
      <c r="Q104" s="15">
        <v>10.0</v>
      </c>
      <c r="R104" s="15">
        <v>10.0</v>
      </c>
      <c r="S104" s="15">
        <v>0.0</v>
      </c>
      <c r="T104" s="15">
        <v>10.0</v>
      </c>
      <c r="U104" s="15">
        <v>10.0</v>
      </c>
      <c r="V104" s="15">
        <v>0.0</v>
      </c>
      <c r="W104" s="17">
        <v>9.0</v>
      </c>
    </row>
    <row r="105">
      <c r="A105" s="17" t="s">
        <v>94</v>
      </c>
      <c r="B105" s="17" t="s">
        <v>95</v>
      </c>
      <c r="C105" s="17" t="s">
        <v>96</v>
      </c>
      <c r="D105" s="15">
        <v>97.5</v>
      </c>
      <c r="E105" s="15">
        <v>2.0</v>
      </c>
      <c r="F105" s="15">
        <v>0.0</v>
      </c>
      <c r="G105" s="15">
        <v>2.0</v>
      </c>
      <c r="H105" s="15">
        <v>2.0</v>
      </c>
      <c r="I105" s="15">
        <v>2.0</v>
      </c>
      <c r="J105" s="15">
        <v>10.0</v>
      </c>
      <c r="K105" s="15">
        <v>10.0</v>
      </c>
      <c r="L105" s="15">
        <v>10.0</v>
      </c>
      <c r="M105" s="15">
        <v>0.0</v>
      </c>
      <c r="N105" s="15">
        <v>10.0</v>
      </c>
      <c r="O105" s="15">
        <v>0.0</v>
      </c>
      <c r="P105" s="15">
        <v>0.0</v>
      </c>
      <c r="Q105" s="15">
        <v>10.0</v>
      </c>
      <c r="R105" s="15">
        <v>0.0</v>
      </c>
      <c r="S105" s="15">
        <v>0.0</v>
      </c>
      <c r="T105" s="15">
        <v>10.0</v>
      </c>
      <c r="U105" s="15">
        <v>10.0</v>
      </c>
      <c r="V105" s="15">
        <v>10.0</v>
      </c>
      <c r="W105" s="17">
        <v>9.5</v>
      </c>
    </row>
    <row r="106">
      <c r="A106" s="17" t="s">
        <v>97</v>
      </c>
      <c r="B106" s="17" t="s">
        <v>98</v>
      </c>
      <c r="C106" s="17" t="s">
        <v>99</v>
      </c>
      <c r="D106" s="15">
        <v>66.0</v>
      </c>
      <c r="E106" s="15">
        <v>2.0</v>
      </c>
      <c r="F106" s="15">
        <v>0.0</v>
      </c>
      <c r="G106" s="15">
        <v>2.0</v>
      </c>
      <c r="H106" s="15">
        <v>2.0</v>
      </c>
      <c r="I106" s="15">
        <v>2.0</v>
      </c>
      <c r="J106" s="15">
        <v>10.0</v>
      </c>
      <c r="K106" s="15">
        <v>10.0</v>
      </c>
      <c r="L106" s="15">
        <v>10.0</v>
      </c>
      <c r="M106" s="15">
        <v>0.0</v>
      </c>
      <c r="N106" s="15">
        <v>0.0</v>
      </c>
      <c r="O106" s="15">
        <v>10.0</v>
      </c>
      <c r="P106" s="15">
        <v>0.0</v>
      </c>
      <c r="Q106" s="15">
        <v>0.0</v>
      </c>
      <c r="R106" s="15">
        <v>0.0</v>
      </c>
      <c r="S106" s="15">
        <v>0.0</v>
      </c>
      <c r="T106" s="15">
        <v>0.0</v>
      </c>
      <c r="U106" s="15">
        <v>10.0</v>
      </c>
      <c r="V106" s="15">
        <v>0.0</v>
      </c>
      <c r="W106" s="17">
        <v>8.0</v>
      </c>
    </row>
    <row r="107">
      <c r="A107" s="17" t="s">
        <v>100</v>
      </c>
      <c r="B107" s="17" t="s">
        <v>101</v>
      </c>
      <c r="C107" s="17" t="s">
        <v>102</v>
      </c>
      <c r="D107" s="15">
        <v>89.0</v>
      </c>
      <c r="E107" s="15">
        <v>2.0</v>
      </c>
      <c r="F107" s="15">
        <v>2.0</v>
      </c>
      <c r="G107" s="15">
        <v>2.0</v>
      </c>
      <c r="H107" s="15">
        <v>2.0</v>
      </c>
      <c r="I107" s="15">
        <v>2.0</v>
      </c>
      <c r="J107" s="15">
        <v>10.0</v>
      </c>
      <c r="K107" s="15">
        <v>0.0</v>
      </c>
      <c r="L107" s="15">
        <v>10.0</v>
      </c>
      <c r="M107" s="15">
        <v>0.0</v>
      </c>
      <c r="N107" s="15">
        <v>0.0</v>
      </c>
      <c r="O107" s="15">
        <v>0.0</v>
      </c>
      <c r="P107" s="15">
        <v>10.0</v>
      </c>
      <c r="Q107" s="15">
        <v>10.0</v>
      </c>
      <c r="R107" s="15">
        <v>10.0</v>
      </c>
      <c r="S107" s="15">
        <v>10.0</v>
      </c>
      <c r="T107" s="15">
        <v>0.0</v>
      </c>
      <c r="U107" s="15">
        <v>10.0</v>
      </c>
      <c r="V107" s="15">
        <v>0.0</v>
      </c>
      <c r="W107" s="17">
        <v>9.0</v>
      </c>
    </row>
    <row r="108">
      <c r="A108" s="17" t="s">
        <v>103</v>
      </c>
      <c r="B108" s="17" t="s">
        <v>104</v>
      </c>
      <c r="C108" s="17" t="s">
        <v>105</v>
      </c>
      <c r="D108" s="15">
        <v>96.5</v>
      </c>
      <c r="E108" s="15">
        <v>2.0</v>
      </c>
      <c r="F108" s="15">
        <v>0.0</v>
      </c>
      <c r="G108" s="15">
        <v>2.0</v>
      </c>
      <c r="H108" s="15">
        <v>2.0</v>
      </c>
      <c r="I108" s="15">
        <v>2.0</v>
      </c>
      <c r="J108" s="15">
        <v>10.0</v>
      </c>
      <c r="K108" s="15">
        <v>10.0</v>
      </c>
      <c r="L108" s="15">
        <v>10.0</v>
      </c>
      <c r="M108" s="15">
        <v>0.0</v>
      </c>
      <c r="N108" s="15">
        <v>0.0</v>
      </c>
      <c r="O108" s="15">
        <v>10.0</v>
      </c>
      <c r="P108" s="15">
        <v>10.0</v>
      </c>
      <c r="Q108" s="15">
        <v>10.0</v>
      </c>
      <c r="R108" s="15">
        <v>10.0</v>
      </c>
      <c r="S108" s="15">
        <v>10.0</v>
      </c>
      <c r="T108" s="15">
        <v>0.0</v>
      </c>
      <c r="U108" s="15">
        <v>0.0</v>
      </c>
      <c r="V108" s="15">
        <v>0.0</v>
      </c>
      <c r="W108" s="17">
        <v>8.5</v>
      </c>
    </row>
    <row r="109">
      <c r="A109" s="17" t="s">
        <v>106</v>
      </c>
      <c r="B109" s="17" t="s">
        <v>107</v>
      </c>
      <c r="C109" s="17" t="s">
        <v>108</v>
      </c>
      <c r="D109" s="15">
        <v>77.0</v>
      </c>
      <c r="E109" s="15">
        <v>2.0</v>
      </c>
      <c r="F109" s="15">
        <v>0.0</v>
      </c>
      <c r="G109" s="15">
        <v>2.0</v>
      </c>
      <c r="H109" s="15">
        <v>2.0</v>
      </c>
      <c r="I109" s="15">
        <v>2.0</v>
      </c>
      <c r="J109" s="15">
        <v>10.0</v>
      </c>
      <c r="K109" s="15">
        <v>0.0</v>
      </c>
      <c r="L109" s="15">
        <v>10.0</v>
      </c>
      <c r="M109" s="15">
        <v>10.0</v>
      </c>
      <c r="N109" s="15">
        <v>10.0</v>
      </c>
      <c r="O109" s="15">
        <v>0.0</v>
      </c>
      <c r="P109" s="15">
        <v>0.0</v>
      </c>
      <c r="Q109" s="15">
        <v>0.0</v>
      </c>
      <c r="R109" s="15">
        <v>10.0</v>
      </c>
      <c r="S109" s="15">
        <v>0.0</v>
      </c>
      <c r="T109" s="15">
        <v>10.0</v>
      </c>
      <c r="U109" s="15">
        <v>0.0</v>
      </c>
      <c r="V109" s="15">
        <v>0.0</v>
      </c>
      <c r="W109" s="17">
        <v>9.0</v>
      </c>
    </row>
    <row r="110">
      <c r="A110" s="17" t="s">
        <v>109</v>
      </c>
      <c r="B110" s="17" t="s">
        <v>110</v>
      </c>
      <c r="C110" s="17" t="s">
        <v>111</v>
      </c>
      <c r="D110" s="15">
        <v>107.5</v>
      </c>
      <c r="E110" s="15">
        <v>2.0</v>
      </c>
      <c r="F110" s="15">
        <v>0.0</v>
      </c>
      <c r="G110" s="15">
        <v>2.0</v>
      </c>
      <c r="H110" s="15">
        <v>2.0</v>
      </c>
      <c r="I110" s="15">
        <v>2.0</v>
      </c>
      <c r="J110" s="15">
        <v>10.0</v>
      </c>
      <c r="K110" s="15">
        <v>0.0</v>
      </c>
      <c r="L110" s="15">
        <v>10.0</v>
      </c>
      <c r="M110" s="15">
        <v>10.0</v>
      </c>
      <c r="N110" s="15">
        <v>10.0</v>
      </c>
      <c r="O110" s="15">
        <v>10.0</v>
      </c>
      <c r="P110" s="15">
        <v>0.0</v>
      </c>
      <c r="Q110" s="15">
        <v>10.0</v>
      </c>
      <c r="R110" s="15">
        <v>10.0</v>
      </c>
      <c r="S110" s="15">
        <v>10.0</v>
      </c>
      <c r="T110" s="15">
        <v>0.0</v>
      </c>
      <c r="U110" s="15">
        <v>10.0</v>
      </c>
      <c r="V110" s="15">
        <v>0.0</v>
      </c>
      <c r="W110" s="17">
        <v>9.5</v>
      </c>
    </row>
    <row r="111">
      <c r="A111" s="17" t="s">
        <v>112</v>
      </c>
      <c r="B111" s="17" t="s">
        <v>113</v>
      </c>
      <c r="C111" s="17" t="s">
        <v>114</v>
      </c>
      <c r="D111" s="15">
        <v>86.0</v>
      </c>
      <c r="E111" s="15">
        <v>2.0</v>
      </c>
      <c r="F111" s="15">
        <v>0.0</v>
      </c>
      <c r="G111" s="15">
        <v>2.0</v>
      </c>
      <c r="H111" s="15">
        <v>2.0</v>
      </c>
      <c r="I111" s="15">
        <v>2.0</v>
      </c>
      <c r="J111" s="15">
        <v>10.0</v>
      </c>
      <c r="K111" s="15">
        <v>10.0</v>
      </c>
      <c r="L111" s="15">
        <v>10.0</v>
      </c>
      <c r="M111" s="15">
        <v>0.0</v>
      </c>
      <c r="N111" s="15">
        <v>10.0</v>
      </c>
      <c r="O111" s="15">
        <v>0.0</v>
      </c>
      <c r="P111" s="15">
        <v>0.0</v>
      </c>
      <c r="Q111" s="15">
        <v>10.0</v>
      </c>
      <c r="R111" s="15">
        <v>10.0</v>
      </c>
      <c r="S111" s="15">
        <v>10.0</v>
      </c>
      <c r="T111" s="15">
        <v>0.0</v>
      </c>
      <c r="U111" s="15">
        <v>0.0</v>
      </c>
      <c r="V111" s="15">
        <v>0.0</v>
      </c>
      <c r="W111" s="17">
        <v>8.0</v>
      </c>
    </row>
    <row r="112">
      <c r="A112" s="17" t="s">
        <v>115</v>
      </c>
      <c r="B112" s="17" t="s">
        <v>116</v>
      </c>
      <c r="C112" s="17" t="s">
        <v>117</v>
      </c>
      <c r="D112" s="15">
        <v>117.0</v>
      </c>
      <c r="E112" s="15">
        <v>2.0</v>
      </c>
      <c r="F112" s="15">
        <v>0.0</v>
      </c>
      <c r="G112" s="15">
        <v>2.0</v>
      </c>
      <c r="H112" s="15">
        <v>2.0</v>
      </c>
      <c r="I112" s="15">
        <v>2.0</v>
      </c>
      <c r="J112" s="15">
        <v>10.0</v>
      </c>
      <c r="K112" s="15">
        <v>10.0</v>
      </c>
      <c r="L112" s="15">
        <v>10.0</v>
      </c>
      <c r="M112" s="15">
        <v>10.0</v>
      </c>
      <c r="N112" s="15">
        <v>10.0</v>
      </c>
      <c r="O112" s="15">
        <v>10.0</v>
      </c>
      <c r="P112" s="15">
        <v>0.0</v>
      </c>
      <c r="Q112" s="15">
        <v>10.0</v>
      </c>
      <c r="R112" s="15">
        <v>10.0</v>
      </c>
      <c r="S112" s="15">
        <v>0.0</v>
      </c>
      <c r="T112" s="15">
        <v>10.0</v>
      </c>
      <c r="U112" s="15">
        <v>10.0</v>
      </c>
      <c r="V112" s="15">
        <v>0.0</v>
      </c>
      <c r="W112" s="17">
        <v>9.0</v>
      </c>
    </row>
    <row r="113">
      <c r="A113" s="17" t="s">
        <v>118</v>
      </c>
      <c r="B113" s="17" t="s">
        <v>119</v>
      </c>
      <c r="C113" s="17" t="s">
        <v>120</v>
      </c>
      <c r="D113" s="15">
        <v>88.0</v>
      </c>
      <c r="E113" s="15">
        <v>2.0</v>
      </c>
      <c r="F113" s="15">
        <v>0.0</v>
      </c>
      <c r="G113" s="15">
        <v>2.0</v>
      </c>
      <c r="H113" s="15">
        <v>2.0</v>
      </c>
      <c r="I113" s="15">
        <v>2.0</v>
      </c>
      <c r="J113" s="15">
        <v>10.0</v>
      </c>
      <c r="K113" s="15">
        <v>10.0</v>
      </c>
      <c r="L113" s="15">
        <v>10.0</v>
      </c>
      <c r="M113" s="15">
        <v>0.0</v>
      </c>
      <c r="N113" s="15">
        <v>10.0</v>
      </c>
      <c r="O113" s="15">
        <v>10.0</v>
      </c>
      <c r="P113" s="15">
        <v>10.0</v>
      </c>
      <c r="Q113" s="15">
        <v>0.0</v>
      </c>
      <c r="R113" s="15">
        <v>10.0</v>
      </c>
      <c r="S113" s="15">
        <v>0.0</v>
      </c>
      <c r="T113" s="15">
        <v>0.0</v>
      </c>
      <c r="U113" s="15">
        <v>10.0</v>
      </c>
      <c r="V113" s="15">
        <v>0.0</v>
      </c>
      <c r="W113" s="17" t="s">
        <v>121</v>
      </c>
    </row>
    <row r="114">
      <c r="A114" s="17" t="s">
        <v>122</v>
      </c>
      <c r="B114" s="17" t="s">
        <v>123</v>
      </c>
      <c r="C114" s="17" t="s">
        <v>124</v>
      </c>
      <c r="D114" s="15">
        <v>77.0</v>
      </c>
      <c r="E114" s="15">
        <v>2.0</v>
      </c>
      <c r="F114" s="15">
        <v>0.0</v>
      </c>
      <c r="G114" s="15">
        <v>2.0</v>
      </c>
      <c r="H114" s="15">
        <v>2.0</v>
      </c>
      <c r="I114" s="15">
        <v>2.0</v>
      </c>
      <c r="J114" s="15">
        <v>10.0</v>
      </c>
      <c r="K114" s="15">
        <v>0.0</v>
      </c>
      <c r="L114" s="15">
        <v>10.0</v>
      </c>
      <c r="M114" s="15">
        <v>0.0</v>
      </c>
      <c r="N114" s="15">
        <v>10.0</v>
      </c>
      <c r="O114" s="15">
        <v>0.0</v>
      </c>
      <c r="P114" s="15">
        <v>10.0</v>
      </c>
      <c r="Q114" s="15">
        <v>10.0</v>
      </c>
      <c r="R114" s="15">
        <v>0.0</v>
      </c>
      <c r="S114" s="15">
        <v>0.0</v>
      </c>
      <c r="T114" s="15">
        <v>0.0</v>
      </c>
      <c r="U114" s="15">
        <v>10.0</v>
      </c>
      <c r="V114" s="15">
        <v>0.0</v>
      </c>
      <c r="W114" s="17">
        <v>9.0</v>
      </c>
    </row>
    <row r="115">
      <c r="A115" s="17" t="s">
        <v>125</v>
      </c>
      <c r="B115" s="17" t="s">
        <v>126</v>
      </c>
      <c r="C115" s="17" t="s">
        <v>96</v>
      </c>
      <c r="D115" s="15">
        <v>67.0</v>
      </c>
      <c r="E115" s="15">
        <v>2.0</v>
      </c>
      <c r="F115" s="15">
        <v>0.0</v>
      </c>
      <c r="G115" s="15">
        <v>2.0</v>
      </c>
      <c r="H115" s="15">
        <v>2.0</v>
      </c>
      <c r="I115" s="15">
        <v>2.0</v>
      </c>
      <c r="J115" s="15">
        <v>10.0</v>
      </c>
      <c r="K115" s="15">
        <v>0.0</v>
      </c>
      <c r="L115" s="15">
        <v>10.0</v>
      </c>
      <c r="M115" s="15">
        <v>10.0</v>
      </c>
      <c r="N115" s="15">
        <v>0.0</v>
      </c>
      <c r="O115" s="15">
        <v>0.0</v>
      </c>
      <c r="P115" s="15">
        <v>0.0</v>
      </c>
      <c r="Q115" s="15">
        <v>10.0</v>
      </c>
      <c r="R115" s="15">
        <v>0.0</v>
      </c>
      <c r="S115" s="15">
        <v>0.0</v>
      </c>
      <c r="T115" s="15">
        <v>0.0</v>
      </c>
      <c r="U115" s="15">
        <v>10.0</v>
      </c>
      <c r="V115" s="15">
        <v>0.0</v>
      </c>
      <c r="W115" s="17">
        <v>9.0</v>
      </c>
    </row>
    <row r="116">
      <c r="A116" s="17" t="s">
        <v>127</v>
      </c>
      <c r="B116" s="17" t="s">
        <v>128</v>
      </c>
      <c r="C116" s="17" t="s">
        <v>129</v>
      </c>
      <c r="D116" s="15">
        <v>96.5</v>
      </c>
      <c r="E116" s="15">
        <v>2.0</v>
      </c>
      <c r="F116" s="15">
        <v>0.0</v>
      </c>
      <c r="G116" s="15">
        <v>2.0</v>
      </c>
      <c r="H116" s="15">
        <v>2.0</v>
      </c>
      <c r="I116" s="15">
        <v>2.0</v>
      </c>
      <c r="J116" s="15">
        <v>10.0</v>
      </c>
      <c r="K116" s="15">
        <v>0.0</v>
      </c>
      <c r="L116" s="15">
        <v>10.0</v>
      </c>
      <c r="M116" s="15">
        <v>10.0</v>
      </c>
      <c r="N116" s="15">
        <v>10.0</v>
      </c>
      <c r="O116" s="15">
        <v>10.0</v>
      </c>
      <c r="P116" s="15">
        <v>0.0</v>
      </c>
      <c r="Q116" s="15">
        <v>10.0</v>
      </c>
      <c r="R116" s="15">
        <v>10.0</v>
      </c>
      <c r="S116" s="15">
        <v>0.0</v>
      </c>
      <c r="T116" s="15">
        <v>0.0</v>
      </c>
      <c r="U116" s="15">
        <v>10.0</v>
      </c>
      <c r="V116" s="15">
        <v>0.0</v>
      </c>
      <c r="W116" s="17">
        <v>8.5</v>
      </c>
    </row>
    <row r="117">
      <c r="A117" s="17" t="s">
        <v>130</v>
      </c>
      <c r="B117" s="17" t="s">
        <v>131</v>
      </c>
      <c r="C117" s="17" t="s">
        <v>132</v>
      </c>
      <c r="D117" s="15">
        <v>86.5</v>
      </c>
      <c r="E117" s="15">
        <v>2.0</v>
      </c>
      <c r="F117" s="15">
        <v>0.0</v>
      </c>
      <c r="G117" s="15">
        <v>2.0</v>
      </c>
      <c r="H117" s="15">
        <v>2.0</v>
      </c>
      <c r="I117" s="15">
        <v>2.0</v>
      </c>
      <c r="J117" s="15">
        <v>10.0</v>
      </c>
      <c r="K117" s="15">
        <v>0.0</v>
      </c>
      <c r="L117" s="15">
        <v>0.0</v>
      </c>
      <c r="M117" s="15">
        <v>10.0</v>
      </c>
      <c r="N117" s="15">
        <v>10.0</v>
      </c>
      <c r="O117" s="15">
        <v>0.0</v>
      </c>
      <c r="P117" s="15">
        <v>10.0</v>
      </c>
      <c r="Q117" s="15">
        <v>10.0</v>
      </c>
      <c r="R117" s="15">
        <v>0.0</v>
      </c>
      <c r="S117" s="15">
        <v>10.0</v>
      </c>
      <c r="T117" s="15">
        <v>0.0</v>
      </c>
      <c r="U117" s="15">
        <v>10.0</v>
      </c>
      <c r="V117" s="15">
        <v>0.0</v>
      </c>
      <c r="W117" s="17">
        <v>8.5</v>
      </c>
    </row>
    <row r="118">
      <c r="A118" s="17" t="s">
        <v>133</v>
      </c>
      <c r="B118" s="17" t="s">
        <v>134</v>
      </c>
      <c r="C118" s="17" t="s">
        <v>135</v>
      </c>
      <c r="D118" s="15">
        <v>137.5</v>
      </c>
      <c r="E118" s="15">
        <v>2.0</v>
      </c>
      <c r="F118" s="15">
        <v>0.0</v>
      </c>
      <c r="G118" s="15">
        <v>2.0</v>
      </c>
      <c r="H118" s="15">
        <v>2.0</v>
      </c>
      <c r="I118" s="15">
        <v>2.0</v>
      </c>
      <c r="J118" s="15">
        <v>10.0</v>
      </c>
      <c r="K118" s="15">
        <v>10.0</v>
      </c>
      <c r="L118" s="15">
        <v>10.0</v>
      </c>
      <c r="M118" s="15">
        <v>10.0</v>
      </c>
      <c r="N118" s="15">
        <v>10.0</v>
      </c>
      <c r="O118" s="15">
        <v>10.0</v>
      </c>
      <c r="P118" s="15">
        <v>10.0</v>
      </c>
      <c r="Q118" s="15">
        <v>10.0</v>
      </c>
      <c r="R118" s="15">
        <v>10.0</v>
      </c>
      <c r="S118" s="15">
        <v>10.0</v>
      </c>
      <c r="T118" s="15">
        <v>0.0</v>
      </c>
      <c r="U118" s="15">
        <v>10.0</v>
      </c>
      <c r="V118" s="15">
        <v>10.0</v>
      </c>
      <c r="W118" s="17">
        <v>9.5</v>
      </c>
    </row>
    <row r="119">
      <c r="A119" s="17" t="s">
        <v>136</v>
      </c>
      <c r="B119" s="17" t="s">
        <v>137</v>
      </c>
      <c r="C119" s="17" t="s">
        <v>138</v>
      </c>
      <c r="D119" s="15">
        <v>87.0</v>
      </c>
      <c r="E119" s="15">
        <v>2.0</v>
      </c>
      <c r="F119" s="15">
        <v>0.0</v>
      </c>
      <c r="G119" s="15">
        <v>2.0</v>
      </c>
      <c r="H119" s="15">
        <v>2.0</v>
      </c>
      <c r="I119" s="15">
        <v>2.0</v>
      </c>
      <c r="J119" s="15">
        <v>10.0</v>
      </c>
      <c r="K119" s="15">
        <v>10.0</v>
      </c>
      <c r="L119" s="15">
        <v>10.0</v>
      </c>
      <c r="M119" s="15">
        <v>10.0</v>
      </c>
      <c r="N119" s="15">
        <v>0.0</v>
      </c>
      <c r="O119" s="15">
        <v>0.0</v>
      </c>
      <c r="P119" s="15">
        <v>0.0</v>
      </c>
      <c r="Q119" s="15">
        <v>10.0</v>
      </c>
      <c r="R119" s="15">
        <v>10.0</v>
      </c>
      <c r="S119" s="15">
        <v>0.0</v>
      </c>
      <c r="T119" s="15">
        <v>0.0</v>
      </c>
      <c r="U119" s="15">
        <v>10.0</v>
      </c>
      <c r="V119" s="15">
        <v>0.0</v>
      </c>
      <c r="W119" s="17">
        <v>9.0</v>
      </c>
    </row>
    <row r="120">
      <c r="A120" s="17" t="s">
        <v>139</v>
      </c>
      <c r="B120" s="17" t="s">
        <v>140</v>
      </c>
      <c r="C120" s="17" t="s">
        <v>141</v>
      </c>
      <c r="D120" s="15">
        <v>75.0</v>
      </c>
      <c r="E120" s="15">
        <v>2.0</v>
      </c>
      <c r="F120" s="15">
        <v>0.0</v>
      </c>
      <c r="G120" s="15">
        <v>2.0</v>
      </c>
      <c r="H120" s="15">
        <v>2.0</v>
      </c>
      <c r="I120" s="15">
        <v>0.0</v>
      </c>
      <c r="J120" s="15">
        <v>10.0</v>
      </c>
      <c r="K120" s="15">
        <v>0.0</v>
      </c>
      <c r="L120" s="15">
        <v>10.0</v>
      </c>
      <c r="M120" s="15">
        <v>10.0</v>
      </c>
      <c r="N120" s="15">
        <v>10.0</v>
      </c>
      <c r="O120" s="15">
        <v>0.0</v>
      </c>
      <c r="P120" s="15">
        <v>0.0</v>
      </c>
      <c r="Q120" s="15">
        <v>0.0</v>
      </c>
      <c r="R120" s="15">
        <v>10.0</v>
      </c>
      <c r="S120" s="15">
        <v>0.0</v>
      </c>
      <c r="T120" s="15">
        <v>0.0</v>
      </c>
      <c r="U120" s="15">
        <v>0.0</v>
      </c>
      <c r="V120" s="15">
        <v>10.0</v>
      </c>
      <c r="W120" s="17">
        <v>9.0</v>
      </c>
    </row>
    <row r="121">
      <c r="A121" s="17" t="s">
        <v>142</v>
      </c>
      <c r="B121" s="17" t="s">
        <v>143</v>
      </c>
      <c r="C121" s="17" t="s">
        <v>144</v>
      </c>
      <c r="D121" s="15">
        <v>78.0</v>
      </c>
      <c r="E121" s="15">
        <v>2.0</v>
      </c>
      <c r="F121" s="15">
        <v>0.0</v>
      </c>
      <c r="G121" s="15">
        <v>2.0</v>
      </c>
      <c r="H121" s="15">
        <v>2.0</v>
      </c>
      <c r="I121" s="15">
        <v>2.0</v>
      </c>
      <c r="J121" s="15">
        <v>10.0</v>
      </c>
      <c r="K121" s="15">
        <v>0.0</v>
      </c>
      <c r="L121" s="15">
        <v>10.0</v>
      </c>
      <c r="M121" s="15">
        <v>0.0</v>
      </c>
      <c r="N121" s="15">
        <v>10.0</v>
      </c>
      <c r="O121" s="15">
        <v>10.0</v>
      </c>
      <c r="P121" s="15">
        <v>0.0</v>
      </c>
      <c r="Q121" s="15">
        <v>0.0</v>
      </c>
      <c r="R121" s="15">
        <v>10.0</v>
      </c>
      <c r="S121" s="15">
        <v>10.0</v>
      </c>
      <c r="T121" s="15">
        <v>0.0</v>
      </c>
      <c r="U121" s="15">
        <v>10.0</v>
      </c>
      <c r="V121" s="15">
        <v>0.0</v>
      </c>
      <c r="W121" s="17" t="s">
        <v>121</v>
      </c>
    </row>
    <row r="122">
      <c r="A122" s="17" t="s">
        <v>145</v>
      </c>
      <c r="B122" s="17" t="s">
        <v>146</v>
      </c>
      <c r="C122" s="17" t="s">
        <v>147</v>
      </c>
      <c r="D122" s="15">
        <v>99.0</v>
      </c>
      <c r="E122" s="15">
        <v>2.0</v>
      </c>
      <c r="F122" s="15">
        <v>2.0</v>
      </c>
      <c r="G122" s="15">
        <v>2.0</v>
      </c>
      <c r="H122" s="15">
        <v>2.0</v>
      </c>
      <c r="I122" s="15">
        <v>2.0</v>
      </c>
      <c r="J122" s="15">
        <v>10.0</v>
      </c>
      <c r="K122" s="15">
        <v>0.0</v>
      </c>
      <c r="L122" s="15">
        <v>10.0</v>
      </c>
      <c r="M122" s="15">
        <v>0.0</v>
      </c>
      <c r="N122" s="15">
        <v>10.0</v>
      </c>
      <c r="O122" s="15">
        <v>0.0</v>
      </c>
      <c r="P122" s="15">
        <v>10.0</v>
      </c>
      <c r="Q122" s="15">
        <v>10.0</v>
      </c>
      <c r="R122" s="15">
        <v>10.0</v>
      </c>
      <c r="S122" s="15">
        <v>0.0</v>
      </c>
      <c r="T122" s="15">
        <v>10.0</v>
      </c>
      <c r="U122" s="15">
        <v>10.0</v>
      </c>
      <c r="V122" s="15">
        <v>0.0</v>
      </c>
      <c r="W122" s="17">
        <v>9.0</v>
      </c>
    </row>
    <row r="123">
      <c r="A123" s="17" t="s">
        <v>148</v>
      </c>
      <c r="B123" s="17" t="s">
        <v>149</v>
      </c>
      <c r="C123" s="17" t="s">
        <v>150</v>
      </c>
      <c r="D123" s="15">
        <v>107.0</v>
      </c>
      <c r="E123" s="15">
        <v>2.0</v>
      </c>
      <c r="F123" s="15">
        <v>0.0</v>
      </c>
      <c r="G123" s="15">
        <v>2.0</v>
      </c>
      <c r="H123" s="15">
        <v>2.0</v>
      </c>
      <c r="I123" s="15">
        <v>2.0</v>
      </c>
      <c r="J123" s="15">
        <v>0.0</v>
      </c>
      <c r="K123" s="15">
        <v>10.0</v>
      </c>
      <c r="L123" s="15">
        <v>10.0</v>
      </c>
      <c r="M123" s="15">
        <v>10.0</v>
      </c>
      <c r="N123" s="15">
        <v>10.0</v>
      </c>
      <c r="O123" s="15">
        <v>0.0</v>
      </c>
      <c r="P123" s="15">
        <v>0.0</v>
      </c>
      <c r="Q123" s="15">
        <v>10.0</v>
      </c>
      <c r="R123" s="15">
        <v>10.0</v>
      </c>
      <c r="S123" s="15">
        <v>10.0</v>
      </c>
      <c r="T123" s="15">
        <v>10.0</v>
      </c>
      <c r="U123" s="15">
        <v>10.0</v>
      </c>
      <c r="V123" s="15">
        <v>0.0</v>
      </c>
      <c r="W123" s="17">
        <v>9.0</v>
      </c>
    </row>
    <row r="124">
      <c r="A124" s="17" t="s">
        <v>151</v>
      </c>
      <c r="B124" s="17" t="s">
        <v>152</v>
      </c>
      <c r="C124" s="17" t="s">
        <v>153</v>
      </c>
      <c r="D124" s="15">
        <v>59.0</v>
      </c>
      <c r="E124" s="15">
        <v>2.0</v>
      </c>
      <c r="F124" s="15">
        <v>2.0</v>
      </c>
      <c r="G124" s="15">
        <v>2.0</v>
      </c>
      <c r="H124" s="15">
        <v>2.0</v>
      </c>
      <c r="I124" s="15">
        <v>2.0</v>
      </c>
      <c r="J124" s="15">
        <v>10.0</v>
      </c>
      <c r="K124" s="15">
        <v>0.0</v>
      </c>
      <c r="L124" s="15">
        <v>10.0</v>
      </c>
      <c r="M124" s="15">
        <v>0.0</v>
      </c>
      <c r="N124" s="15">
        <v>0.0</v>
      </c>
      <c r="O124" s="15">
        <v>0.0</v>
      </c>
      <c r="P124" s="15">
        <v>0.0</v>
      </c>
      <c r="Q124" s="15">
        <v>0.0</v>
      </c>
      <c r="R124" s="15">
        <v>10.0</v>
      </c>
      <c r="S124" s="15">
        <v>10.0</v>
      </c>
      <c r="T124" s="15">
        <v>0.0</v>
      </c>
      <c r="U124" s="15">
        <v>0.0</v>
      </c>
      <c r="V124" s="15">
        <v>0.0</v>
      </c>
      <c r="W124" s="17">
        <v>9.0</v>
      </c>
    </row>
    <row r="125">
      <c r="A125" s="17" t="s">
        <v>154</v>
      </c>
      <c r="B125" s="17" t="s">
        <v>155</v>
      </c>
      <c r="C125" s="17" t="s">
        <v>156</v>
      </c>
      <c r="D125" s="15">
        <v>99.0</v>
      </c>
      <c r="E125" s="15">
        <v>2.0</v>
      </c>
      <c r="F125" s="15">
        <v>2.0</v>
      </c>
      <c r="G125" s="15">
        <v>2.0</v>
      </c>
      <c r="H125" s="15">
        <v>2.0</v>
      </c>
      <c r="I125" s="15">
        <v>2.0</v>
      </c>
      <c r="J125" s="15">
        <v>10.0</v>
      </c>
      <c r="K125" s="15">
        <v>10.0</v>
      </c>
      <c r="L125" s="15">
        <v>10.0</v>
      </c>
      <c r="M125" s="15">
        <v>0.0</v>
      </c>
      <c r="N125" s="15">
        <v>0.0</v>
      </c>
      <c r="O125" s="15">
        <v>10.0</v>
      </c>
      <c r="P125" s="15">
        <v>10.0</v>
      </c>
      <c r="Q125" s="15">
        <v>10.0</v>
      </c>
      <c r="R125" s="15">
        <v>0.0</v>
      </c>
      <c r="S125" s="15">
        <v>0.0</v>
      </c>
      <c r="T125" s="15">
        <v>0.0</v>
      </c>
      <c r="U125" s="15">
        <v>10.0</v>
      </c>
      <c r="V125" s="15">
        <v>10.0</v>
      </c>
      <c r="W125" s="17">
        <v>9.0</v>
      </c>
    </row>
    <row r="126">
      <c r="A126" s="17" t="s">
        <v>157</v>
      </c>
      <c r="B126" s="17" t="s">
        <v>158</v>
      </c>
      <c r="C126" s="17" t="s">
        <v>159</v>
      </c>
      <c r="D126" s="15">
        <v>87.0</v>
      </c>
      <c r="E126" s="15">
        <v>2.0</v>
      </c>
      <c r="F126" s="15">
        <v>0.0</v>
      </c>
      <c r="G126" s="15">
        <v>2.0</v>
      </c>
      <c r="H126" s="15">
        <v>2.0</v>
      </c>
      <c r="I126" s="15">
        <v>2.0</v>
      </c>
      <c r="J126" s="15">
        <v>10.0</v>
      </c>
      <c r="K126" s="15">
        <v>10.0</v>
      </c>
      <c r="L126" s="15">
        <v>10.0</v>
      </c>
      <c r="M126" s="15">
        <v>0.0</v>
      </c>
      <c r="N126" s="15">
        <v>10.0</v>
      </c>
      <c r="O126" s="15">
        <v>0.0</v>
      </c>
      <c r="P126" s="15">
        <v>0.0</v>
      </c>
      <c r="Q126" s="15">
        <v>10.0</v>
      </c>
      <c r="R126" s="15">
        <v>10.0</v>
      </c>
      <c r="S126" s="15">
        <v>0.0</v>
      </c>
      <c r="T126" s="15">
        <v>0.0</v>
      </c>
      <c r="U126" s="15">
        <v>10.0</v>
      </c>
      <c r="V126" s="15">
        <v>0.0</v>
      </c>
      <c r="W126" s="17">
        <v>9.0</v>
      </c>
    </row>
    <row r="127">
      <c r="A127" s="17" t="s">
        <v>160</v>
      </c>
      <c r="B127" s="17" t="s">
        <v>161</v>
      </c>
      <c r="C127" s="17" t="s">
        <v>162</v>
      </c>
      <c r="D127" s="15">
        <v>67.5</v>
      </c>
      <c r="E127" s="15">
        <v>2.0</v>
      </c>
      <c r="F127" s="15">
        <v>0.0</v>
      </c>
      <c r="G127" s="15">
        <v>2.0</v>
      </c>
      <c r="H127" s="15">
        <v>2.0</v>
      </c>
      <c r="I127" s="15">
        <v>2.0</v>
      </c>
      <c r="J127" s="15">
        <v>10.0</v>
      </c>
      <c r="K127" s="15">
        <v>10.0</v>
      </c>
      <c r="L127" s="15">
        <v>10.0</v>
      </c>
      <c r="M127" s="15">
        <v>0.0</v>
      </c>
      <c r="N127" s="15">
        <v>0.0</v>
      </c>
      <c r="O127" s="15">
        <v>0.0</v>
      </c>
      <c r="P127" s="15">
        <v>0.0</v>
      </c>
      <c r="Q127" s="15">
        <v>0.0</v>
      </c>
      <c r="R127" s="15">
        <v>0.0</v>
      </c>
      <c r="S127" s="15">
        <v>10.0</v>
      </c>
      <c r="T127" s="15">
        <v>0.0</v>
      </c>
      <c r="U127" s="15">
        <v>10.0</v>
      </c>
      <c r="V127" s="15">
        <v>0.0</v>
      </c>
      <c r="W127" s="17">
        <v>9.5</v>
      </c>
    </row>
    <row r="128">
      <c r="A128" s="17" t="s">
        <v>163</v>
      </c>
      <c r="B128" s="17" t="s">
        <v>164</v>
      </c>
      <c r="C128" s="17" t="s">
        <v>165</v>
      </c>
      <c r="D128" s="15">
        <v>85.5</v>
      </c>
      <c r="E128" s="15">
        <v>2.0</v>
      </c>
      <c r="F128" s="15">
        <v>0.0</v>
      </c>
      <c r="G128" s="15">
        <v>0.0</v>
      </c>
      <c r="H128" s="15">
        <v>2.0</v>
      </c>
      <c r="I128" s="15">
        <v>2.0</v>
      </c>
      <c r="J128" s="15">
        <v>10.0</v>
      </c>
      <c r="K128" s="15">
        <v>10.0</v>
      </c>
      <c r="L128" s="15">
        <v>10.0</v>
      </c>
      <c r="M128" s="15">
        <v>0.0</v>
      </c>
      <c r="N128" s="15">
        <v>10.0</v>
      </c>
      <c r="O128" s="15">
        <v>0.0</v>
      </c>
      <c r="P128" s="15">
        <v>0.0</v>
      </c>
      <c r="Q128" s="15">
        <v>10.0</v>
      </c>
      <c r="R128" s="15">
        <v>0.0</v>
      </c>
      <c r="S128" s="15">
        <v>10.0</v>
      </c>
      <c r="T128" s="15">
        <v>0.0</v>
      </c>
      <c r="U128" s="15">
        <v>10.0</v>
      </c>
      <c r="V128" s="15">
        <v>0.0</v>
      </c>
      <c r="W128" s="17">
        <v>9.5</v>
      </c>
    </row>
    <row r="129">
      <c r="A129" s="17" t="s">
        <v>166</v>
      </c>
      <c r="B129" s="17" t="s">
        <v>167</v>
      </c>
      <c r="C129" s="17" t="s">
        <v>168</v>
      </c>
      <c r="D129" s="15">
        <v>97.0</v>
      </c>
      <c r="E129" s="15">
        <v>2.0</v>
      </c>
      <c r="F129" s="15">
        <v>0.0</v>
      </c>
      <c r="G129" s="15">
        <v>2.0</v>
      </c>
      <c r="H129" s="15">
        <v>2.0</v>
      </c>
      <c r="I129" s="15">
        <v>2.0</v>
      </c>
      <c r="J129" s="15">
        <v>10.0</v>
      </c>
      <c r="K129" s="15">
        <v>0.0</v>
      </c>
      <c r="L129" s="15">
        <v>10.0</v>
      </c>
      <c r="M129" s="15">
        <v>0.0</v>
      </c>
      <c r="N129" s="15">
        <v>10.0</v>
      </c>
      <c r="O129" s="15">
        <v>10.0</v>
      </c>
      <c r="P129" s="15">
        <v>0.0</v>
      </c>
      <c r="Q129" s="15">
        <v>10.0</v>
      </c>
      <c r="R129" s="15">
        <v>10.0</v>
      </c>
      <c r="S129" s="15">
        <v>10.0</v>
      </c>
      <c r="T129" s="15">
        <v>0.0</v>
      </c>
      <c r="U129" s="15">
        <v>10.0</v>
      </c>
      <c r="V129" s="15">
        <v>0.0</v>
      </c>
      <c r="W129" s="17">
        <v>9.0</v>
      </c>
    </row>
    <row r="130">
      <c r="A130" s="17" t="s">
        <v>169</v>
      </c>
      <c r="B130" s="17" t="s">
        <v>110</v>
      </c>
      <c r="C130" s="17" t="s">
        <v>88</v>
      </c>
      <c r="D130" s="15">
        <v>105.0</v>
      </c>
      <c r="E130" s="15">
        <v>2.0</v>
      </c>
      <c r="F130" s="15">
        <v>0.0</v>
      </c>
      <c r="G130" s="15">
        <v>2.0</v>
      </c>
      <c r="H130" s="15">
        <v>2.0</v>
      </c>
      <c r="I130" s="15">
        <v>0.0</v>
      </c>
      <c r="J130" s="15">
        <v>10.0</v>
      </c>
      <c r="K130" s="15">
        <v>0.0</v>
      </c>
      <c r="L130" s="15">
        <v>10.0</v>
      </c>
      <c r="M130" s="15">
        <v>0.0</v>
      </c>
      <c r="N130" s="15">
        <v>10.0</v>
      </c>
      <c r="O130" s="15">
        <v>10.0</v>
      </c>
      <c r="P130" s="15">
        <v>0.0</v>
      </c>
      <c r="Q130" s="15">
        <v>10.0</v>
      </c>
      <c r="R130" s="15">
        <v>10.0</v>
      </c>
      <c r="S130" s="15">
        <v>10.0</v>
      </c>
      <c r="T130" s="15">
        <v>0.0</v>
      </c>
      <c r="U130" s="15">
        <v>10.0</v>
      </c>
      <c r="V130" s="15">
        <v>10.0</v>
      </c>
      <c r="W130" s="17">
        <v>9.0</v>
      </c>
    </row>
    <row r="131">
      <c r="A131" s="17" t="s">
        <v>170</v>
      </c>
      <c r="B131" s="17" t="s">
        <v>171</v>
      </c>
      <c r="C131" s="17" t="s">
        <v>172</v>
      </c>
      <c r="D131" s="15">
        <v>70.0</v>
      </c>
      <c r="E131" s="15">
        <v>2.0</v>
      </c>
      <c r="F131" s="15">
        <v>2.0</v>
      </c>
      <c r="G131" s="15">
        <v>2.0</v>
      </c>
      <c r="H131" s="15">
        <v>2.0</v>
      </c>
      <c r="I131" s="15">
        <v>2.0</v>
      </c>
      <c r="J131" s="15">
        <v>10.0</v>
      </c>
      <c r="K131" s="15">
        <v>10.0</v>
      </c>
      <c r="L131" s="15">
        <v>10.0</v>
      </c>
      <c r="M131" s="15">
        <v>0.0</v>
      </c>
      <c r="N131" s="15">
        <v>0.0</v>
      </c>
      <c r="O131" s="15">
        <v>10.0</v>
      </c>
      <c r="P131" s="15">
        <v>0.0</v>
      </c>
      <c r="Q131" s="15">
        <v>0.0</v>
      </c>
      <c r="R131" s="15">
        <v>10.0</v>
      </c>
      <c r="S131" s="15">
        <v>10.0</v>
      </c>
      <c r="T131" s="15">
        <v>0.0</v>
      </c>
      <c r="U131" s="15">
        <v>0.0</v>
      </c>
      <c r="V131" s="15">
        <v>0.0</v>
      </c>
      <c r="W131" s="17" t="s">
        <v>121</v>
      </c>
    </row>
    <row r="132">
      <c r="A132" s="17" t="s">
        <v>173</v>
      </c>
      <c r="B132" s="17" t="s">
        <v>174</v>
      </c>
      <c r="C132" s="17" t="s">
        <v>175</v>
      </c>
      <c r="D132" s="15">
        <v>117.0</v>
      </c>
      <c r="E132" s="15">
        <v>2.0</v>
      </c>
      <c r="F132" s="15">
        <v>0.0</v>
      </c>
      <c r="G132" s="15">
        <v>2.0</v>
      </c>
      <c r="H132" s="15">
        <v>2.0</v>
      </c>
      <c r="I132" s="15">
        <v>2.0</v>
      </c>
      <c r="J132" s="15">
        <v>10.0</v>
      </c>
      <c r="K132" s="15">
        <v>10.0</v>
      </c>
      <c r="L132" s="15">
        <v>10.0</v>
      </c>
      <c r="M132" s="15">
        <v>10.0</v>
      </c>
      <c r="N132" s="15">
        <v>10.0</v>
      </c>
      <c r="O132" s="15">
        <v>10.0</v>
      </c>
      <c r="P132" s="15">
        <v>0.0</v>
      </c>
      <c r="Q132" s="15">
        <v>10.0</v>
      </c>
      <c r="R132" s="15">
        <v>10.0</v>
      </c>
      <c r="S132" s="15">
        <v>10.0</v>
      </c>
      <c r="T132" s="15">
        <v>0.0</v>
      </c>
      <c r="U132" s="15">
        <v>10.0</v>
      </c>
      <c r="V132" s="15">
        <v>0.0</v>
      </c>
      <c r="W132" s="17">
        <v>9.0</v>
      </c>
    </row>
    <row r="133">
      <c r="A133" s="17" t="s">
        <v>176</v>
      </c>
      <c r="B133" s="17" t="s">
        <v>177</v>
      </c>
      <c r="C133" s="17" t="s">
        <v>178</v>
      </c>
      <c r="D133" s="15">
        <v>47.0</v>
      </c>
      <c r="E133" s="15">
        <v>2.0</v>
      </c>
      <c r="F133" s="15">
        <v>2.0</v>
      </c>
      <c r="G133" s="15">
        <v>2.0</v>
      </c>
      <c r="H133" s="15">
        <v>2.0</v>
      </c>
      <c r="I133" s="15">
        <v>0.0</v>
      </c>
      <c r="J133" s="15">
        <v>10.0</v>
      </c>
      <c r="K133" s="15">
        <v>0.0</v>
      </c>
      <c r="L133" s="15">
        <v>10.0</v>
      </c>
      <c r="M133" s="15">
        <v>0.0</v>
      </c>
      <c r="N133" s="15">
        <v>0.0</v>
      </c>
      <c r="O133" s="15">
        <v>0.0</v>
      </c>
      <c r="P133" s="15">
        <v>0.0</v>
      </c>
      <c r="Q133" s="15">
        <v>0.0</v>
      </c>
      <c r="R133" s="15">
        <v>0.0</v>
      </c>
      <c r="S133" s="15">
        <v>10.0</v>
      </c>
      <c r="T133" s="15">
        <v>0.0</v>
      </c>
      <c r="U133" s="15">
        <v>0.0</v>
      </c>
      <c r="V133" s="15">
        <v>0.0</v>
      </c>
      <c r="W133" s="17">
        <v>9.0</v>
      </c>
    </row>
    <row r="134">
      <c r="A134" s="17" t="s">
        <v>179</v>
      </c>
      <c r="B134" s="17" t="s">
        <v>180</v>
      </c>
      <c r="C134" s="17" t="s">
        <v>181</v>
      </c>
      <c r="D134" s="15">
        <v>107.5</v>
      </c>
      <c r="E134" s="15">
        <v>2.0</v>
      </c>
      <c r="F134" s="15">
        <v>0.0</v>
      </c>
      <c r="G134" s="15">
        <v>2.0</v>
      </c>
      <c r="H134" s="15">
        <v>2.0</v>
      </c>
      <c r="I134" s="15">
        <v>2.0</v>
      </c>
      <c r="J134" s="15">
        <v>10.0</v>
      </c>
      <c r="K134" s="15">
        <v>10.0</v>
      </c>
      <c r="L134" s="15">
        <v>10.0</v>
      </c>
      <c r="M134" s="15">
        <v>10.0</v>
      </c>
      <c r="N134" s="15">
        <v>10.0</v>
      </c>
      <c r="O134" s="15">
        <v>0.0</v>
      </c>
      <c r="P134" s="15">
        <v>0.0</v>
      </c>
      <c r="Q134" s="15">
        <v>10.0</v>
      </c>
      <c r="R134" s="15">
        <v>10.0</v>
      </c>
      <c r="S134" s="15">
        <v>10.0</v>
      </c>
      <c r="T134" s="15">
        <v>0.0</v>
      </c>
      <c r="U134" s="15">
        <v>10.0</v>
      </c>
      <c r="V134" s="15">
        <v>0.0</v>
      </c>
      <c r="W134" s="17">
        <v>9.5</v>
      </c>
    </row>
    <row r="135">
      <c r="A135" s="17" t="s">
        <v>182</v>
      </c>
      <c r="B135" s="17" t="s">
        <v>183</v>
      </c>
      <c r="C135" s="17" t="s">
        <v>184</v>
      </c>
      <c r="D135" s="15">
        <v>89.5</v>
      </c>
      <c r="E135" s="15">
        <v>2.0</v>
      </c>
      <c r="F135" s="15">
        <v>2.0</v>
      </c>
      <c r="G135" s="15">
        <v>2.0</v>
      </c>
      <c r="H135" s="15">
        <v>2.0</v>
      </c>
      <c r="I135" s="15">
        <v>2.0</v>
      </c>
      <c r="J135" s="15">
        <v>10.0</v>
      </c>
      <c r="K135" s="15">
        <v>10.0</v>
      </c>
      <c r="L135" s="15">
        <v>10.0</v>
      </c>
      <c r="M135" s="15">
        <v>0.0</v>
      </c>
      <c r="N135" s="15">
        <v>0.0</v>
      </c>
      <c r="O135" s="15">
        <v>10.0</v>
      </c>
      <c r="P135" s="15">
        <v>0.0</v>
      </c>
      <c r="Q135" s="15">
        <v>10.0</v>
      </c>
      <c r="R135" s="15">
        <v>10.0</v>
      </c>
      <c r="S135" s="15">
        <v>0.0</v>
      </c>
      <c r="T135" s="15">
        <v>0.0</v>
      </c>
      <c r="U135" s="15">
        <v>10.0</v>
      </c>
      <c r="V135" s="15">
        <v>0.0</v>
      </c>
      <c r="W135" s="17">
        <v>9.5</v>
      </c>
    </row>
    <row r="136">
      <c r="A136" s="17" t="s">
        <v>185</v>
      </c>
      <c r="B136" s="17" t="s">
        <v>186</v>
      </c>
      <c r="C136" s="17" t="s">
        <v>187</v>
      </c>
      <c r="D136" s="15">
        <v>67.0</v>
      </c>
      <c r="E136" s="15">
        <v>2.0</v>
      </c>
      <c r="F136" s="15">
        <v>0.0</v>
      </c>
      <c r="G136" s="15">
        <v>2.0</v>
      </c>
      <c r="H136" s="15">
        <v>2.0</v>
      </c>
      <c r="I136" s="15">
        <v>2.0</v>
      </c>
      <c r="J136" s="15">
        <v>10.0</v>
      </c>
      <c r="K136" s="15">
        <v>0.0</v>
      </c>
      <c r="L136" s="15">
        <v>10.0</v>
      </c>
      <c r="M136" s="15">
        <v>10.0</v>
      </c>
      <c r="N136" s="15">
        <v>10.0</v>
      </c>
      <c r="O136" s="15">
        <v>0.0</v>
      </c>
      <c r="P136" s="15">
        <v>10.0</v>
      </c>
      <c r="Q136" s="15">
        <v>0.0</v>
      </c>
      <c r="R136" s="15">
        <v>0.0</v>
      </c>
      <c r="S136" s="15">
        <v>0.0</v>
      </c>
      <c r="T136" s="15">
        <v>0.0</v>
      </c>
      <c r="U136" s="15">
        <v>0.0</v>
      </c>
      <c r="V136" s="15">
        <v>0.0</v>
      </c>
      <c r="W136" s="17">
        <v>9.0</v>
      </c>
    </row>
    <row r="137">
      <c r="A137" s="17" t="s">
        <v>188</v>
      </c>
      <c r="B137" s="17" t="s">
        <v>189</v>
      </c>
      <c r="C137" s="17" t="s">
        <v>190</v>
      </c>
      <c r="D137" s="15">
        <v>85.0</v>
      </c>
      <c r="E137" s="15">
        <v>2.0</v>
      </c>
      <c r="F137" s="15">
        <v>0.0</v>
      </c>
      <c r="G137" s="15">
        <v>0.0</v>
      </c>
      <c r="H137" s="15">
        <v>2.0</v>
      </c>
      <c r="I137" s="15">
        <v>2.0</v>
      </c>
      <c r="J137" s="15">
        <v>10.0</v>
      </c>
      <c r="K137" s="15">
        <v>10.0</v>
      </c>
      <c r="L137" s="15">
        <v>10.0</v>
      </c>
      <c r="M137" s="15">
        <v>0.0</v>
      </c>
      <c r="N137" s="15">
        <v>0.0</v>
      </c>
      <c r="O137" s="15">
        <v>0.0</v>
      </c>
      <c r="P137" s="15">
        <v>0.0</v>
      </c>
      <c r="Q137" s="15">
        <v>10.0</v>
      </c>
      <c r="R137" s="15">
        <v>10.0</v>
      </c>
      <c r="S137" s="15">
        <v>10.0</v>
      </c>
      <c r="T137" s="15">
        <v>0.0</v>
      </c>
      <c r="U137" s="15">
        <v>10.0</v>
      </c>
      <c r="V137" s="15">
        <v>0.0</v>
      </c>
      <c r="W137" s="17">
        <v>9.0</v>
      </c>
    </row>
    <row r="138">
      <c r="A138" s="17" t="s">
        <v>191</v>
      </c>
      <c r="B138" s="17" t="s">
        <v>192</v>
      </c>
      <c r="C138" s="17" t="s">
        <v>193</v>
      </c>
      <c r="D138" s="15">
        <v>66.5</v>
      </c>
      <c r="E138" s="15">
        <v>2.0</v>
      </c>
      <c r="F138" s="15">
        <v>0.0</v>
      </c>
      <c r="G138" s="15">
        <v>2.0</v>
      </c>
      <c r="H138" s="15">
        <v>2.0</v>
      </c>
      <c r="I138" s="15">
        <v>2.0</v>
      </c>
      <c r="J138" s="15">
        <v>10.0</v>
      </c>
      <c r="K138" s="15">
        <v>0.0</v>
      </c>
      <c r="L138" s="15">
        <v>10.0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10.0</v>
      </c>
      <c r="R138" s="15">
        <v>10.0</v>
      </c>
      <c r="S138" s="15">
        <v>10.0</v>
      </c>
      <c r="T138" s="15">
        <v>0.0</v>
      </c>
      <c r="U138" s="15">
        <v>0.0</v>
      </c>
      <c r="V138" s="15">
        <v>0.0</v>
      </c>
      <c r="W138" s="17">
        <v>8.5</v>
      </c>
    </row>
    <row r="139">
      <c r="A139" s="17" t="s">
        <v>194</v>
      </c>
      <c r="B139" s="17" t="s">
        <v>195</v>
      </c>
      <c r="C139" s="17" t="s">
        <v>105</v>
      </c>
      <c r="D139" s="15">
        <v>87.0</v>
      </c>
      <c r="E139" s="15">
        <v>2.0</v>
      </c>
      <c r="F139" s="15">
        <v>0.0</v>
      </c>
      <c r="G139" s="15">
        <v>2.0</v>
      </c>
      <c r="H139" s="15">
        <v>2.0</v>
      </c>
      <c r="I139" s="15">
        <v>2.0</v>
      </c>
      <c r="J139" s="15">
        <v>10.0</v>
      </c>
      <c r="K139" s="15">
        <v>0.0</v>
      </c>
      <c r="L139" s="15">
        <v>10.0</v>
      </c>
      <c r="M139" s="15">
        <v>10.0</v>
      </c>
      <c r="N139" s="15">
        <v>0.0</v>
      </c>
      <c r="O139" s="15">
        <v>0.0</v>
      </c>
      <c r="P139" s="15">
        <v>0.0</v>
      </c>
      <c r="Q139" s="15">
        <v>0.0</v>
      </c>
      <c r="R139" s="15">
        <v>10.0</v>
      </c>
      <c r="S139" s="15">
        <v>10.0</v>
      </c>
      <c r="T139" s="15">
        <v>0.0</v>
      </c>
      <c r="U139" s="15">
        <v>10.0</v>
      </c>
      <c r="V139" s="15">
        <v>10.0</v>
      </c>
      <c r="W139" s="17">
        <v>9.0</v>
      </c>
    </row>
    <row r="140">
      <c r="A140" s="17" t="s">
        <v>196</v>
      </c>
      <c r="B140" s="17" t="s">
        <v>197</v>
      </c>
      <c r="C140" s="17" t="s">
        <v>184</v>
      </c>
      <c r="D140" s="15">
        <v>67.0</v>
      </c>
      <c r="E140" s="15">
        <v>2.0</v>
      </c>
      <c r="F140" s="15">
        <v>0.0</v>
      </c>
      <c r="G140" s="15">
        <v>2.0</v>
      </c>
      <c r="H140" s="15">
        <v>2.0</v>
      </c>
      <c r="I140" s="15">
        <v>2.0</v>
      </c>
      <c r="J140" s="15">
        <v>10.0</v>
      </c>
      <c r="K140" s="15">
        <v>0.0</v>
      </c>
      <c r="L140" s="15">
        <v>10.0</v>
      </c>
      <c r="M140" s="15">
        <v>0.0</v>
      </c>
      <c r="N140" s="15">
        <v>10.0</v>
      </c>
      <c r="O140" s="15">
        <v>0.0</v>
      </c>
      <c r="P140" s="15">
        <v>10.0</v>
      </c>
      <c r="Q140" s="15">
        <v>0.0</v>
      </c>
      <c r="R140" s="15">
        <v>0.0</v>
      </c>
      <c r="S140" s="15">
        <v>0.0</v>
      </c>
      <c r="T140" s="15">
        <v>0.0</v>
      </c>
      <c r="U140" s="15">
        <v>10.0</v>
      </c>
      <c r="V140" s="15">
        <v>0.0</v>
      </c>
      <c r="W140" s="17">
        <v>9.0</v>
      </c>
    </row>
    <row r="141">
      <c r="A141" s="17" t="s">
        <v>198</v>
      </c>
      <c r="B141" s="17" t="s">
        <v>199</v>
      </c>
      <c r="C141" s="17" t="s">
        <v>200</v>
      </c>
      <c r="D141" s="15">
        <v>78.0</v>
      </c>
      <c r="E141" s="15">
        <v>2.0</v>
      </c>
      <c r="F141" s="15">
        <v>0.0</v>
      </c>
      <c r="G141" s="15">
        <v>2.0</v>
      </c>
      <c r="H141" s="15">
        <v>2.0</v>
      </c>
      <c r="I141" s="15">
        <v>2.0</v>
      </c>
      <c r="J141" s="15">
        <v>10.0</v>
      </c>
      <c r="K141" s="15">
        <v>0.0</v>
      </c>
      <c r="L141" s="15">
        <v>10.0</v>
      </c>
      <c r="M141" s="15">
        <v>0.0</v>
      </c>
      <c r="N141" s="15">
        <v>0.0</v>
      </c>
      <c r="O141" s="15">
        <v>10.0</v>
      </c>
      <c r="P141" s="15">
        <v>0.0</v>
      </c>
      <c r="Q141" s="15">
        <v>0.0</v>
      </c>
      <c r="R141" s="15">
        <v>10.0</v>
      </c>
      <c r="S141" s="15">
        <v>10.0</v>
      </c>
      <c r="T141" s="15">
        <v>0.0</v>
      </c>
      <c r="U141" s="15">
        <v>10.0</v>
      </c>
      <c r="V141" s="15">
        <v>10.0</v>
      </c>
      <c r="W141" s="17" t="s">
        <v>121</v>
      </c>
    </row>
    <row r="142">
      <c r="A142" s="17" t="s">
        <v>201</v>
      </c>
      <c r="B142" s="17" t="s">
        <v>202</v>
      </c>
      <c r="C142" s="17" t="s">
        <v>203</v>
      </c>
      <c r="D142" s="15">
        <v>97.0</v>
      </c>
      <c r="E142" s="15">
        <v>2.0</v>
      </c>
      <c r="F142" s="15">
        <v>0.0</v>
      </c>
      <c r="G142" s="15">
        <v>2.0</v>
      </c>
      <c r="H142" s="15">
        <v>2.0</v>
      </c>
      <c r="I142" s="15">
        <v>2.0</v>
      </c>
      <c r="J142" s="15">
        <v>10.0</v>
      </c>
      <c r="K142" s="15">
        <v>10.0</v>
      </c>
      <c r="L142" s="15">
        <v>10.0</v>
      </c>
      <c r="M142" s="15">
        <v>10.0</v>
      </c>
      <c r="N142" s="15">
        <v>0.0</v>
      </c>
      <c r="O142" s="15">
        <v>0.0</v>
      </c>
      <c r="P142" s="15">
        <v>10.0</v>
      </c>
      <c r="Q142" s="15">
        <v>10.0</v>
      </c>
      <c r="R142" s="15">
        <v>10.0</v>
      </c>
      <c r="S142" s="15">
        <v>0.0</v>
      </c>
      <c r="T142" s="15">
        <v>0.0</v>
      </c>
      <c r="U142" s="15">
        <v>0.0</v>
      </c>
      <c r="V142" s="15">
        <v>10.0</v>
      </c>
      <c r="W142" s="17">
        <v>9.0</v>
      </c>
    </row>
    <row r="143">
      <c r="A143" s="17" t="s">
        <v>204</v>
      </c>
      <c r="B143" s="17" t="s">
        <v>205</v>
      </c>
      <c r="C143" s="17" t="s">
        <v>96</v>
      </c>
      <c r="D143" s="15">
        <v>95.0</v>
      </c>
      <c r="E143" s="15">
        <v>2.0</v>
      </c>
      <c r="F143" s="15">
        <v>0.0</v>
      </c>
      <c r="G143" s="15">
        <v>2.0</v>
      </c>
      <c r="H143" s="15">
        <v>2.0</v>
      </c>
      <c r="I143" s="15">
        <v>0.0</v>
      </c>
      <c r="J143" s="15">
        <v>10.0</v>
      </c>
      <c r="K143" s="15">
        <v>0.0</v>
      </c>
      <c r="L143" s="15">
        <v>10.0</v>
      </c>
      <c r="M143" s="15">
        <v>10.0</v>
      </c>
      <c r="N143" s="15">
        <v>10.0</v>
      </c>
      <c r="O143" s="15">
        <v>0.0</v>
      </c>
      <c r="P143" s="15">
        <v>0.0</v>
      </c>
      <c r="Q143" s="15">
        <v>10.0</v>
      </c>
      <c r="R143" s="15">
        <v>10.0</v>
      </c>
      <c r="S143" s="15">
        <v>10.0</v>
      </c>
      <c r="T143" s="15">
        <v>10.0</v>
      </c>
      <c r="U143" s="15">
        <v>0.0</v>
      </c>
      <c r="V143" s="15">
        <v>0.0</v>
      </c>
      <c r="W143" s="17">
        <v>9.0</v>
      </c>
    </row>
    <row r="144">
      <c r="A144" s="17" t="s">
        <v>206</v>
      </c>
      <c r="B144" s="17" t="s">
        <v>207</v>
      </c>
      <c r="C144" s="17" t="s">
        <v>208</v>
      </c>
      <c r="D144" s="15">
        <v>78.0</v>
      </c>
      <c r="E144" s="15">
        <v>2.0</v>
      </c>
      <c r="F144" s="15">
        <v>0.0</v>
      </c>
      <c r="G144" s="15">
        <v>2.0</v>
      </c>
      <c r="H144" s="15">
        <v>2.0</v>
      </c>
      <c r="I144" s="15">
        <v>2.0</v>
      </c>
      <c r="J144" s="15">
        <v>10.0</v>
      </c>
      <c r="K144" s="15">
        <v>0.0</v>
      </c>
      <c r="L144" s="15">
        <v>10.0</v>
      </c>
      <c r="M144" s="15">
        <v>0.0</v>
      </c>
      <c r="N144" s="15">
        <v>10.0</v>
      </c>
      <c r="O144" s="15">
        <v>0.0</v>
      </c>
      <c r="P144" s="15">
        <v>10.0</v>
      </c>
      <c r="Q144" s="15">
        <v>10.0</v>
      </c>
      <c r="R144" s="15">
        <v>10.0</v>
      </c>
      <c r="S144" s="15">
        <v>0.0</v>
      </c>
      <c r="T144" s="15">
        <v>0.0</v>
      </c>
      <c r="U144" s="15">
        <v>10.0</v>
      </c>
      <c r="V144" s="15">
        <v>0.0</v>
      </c>
      <c r="W144" s="17">
        <v>0.0</v>
      </c>
    </row>
    <row r="145">
      <c r="A145" s="17" t="s">
        <v>209</v>
      </c>
      <c r="B145" s="17" t="s">
        <v>189</v>
      </c>
      <c r="C145" s="17" t="s">
        <v>210</v>
      </c>
      <c r="D145" s="15">
        <v>137.0</v>
      </c>
      <c r="E145" s="15">
        <v>2.0</v>
      </c>
      <c r="F145" s="15">
        <v>2.0</v>
      </c>
      <c r="G145" s="15">
        <v>2.0</v>
      </c>
      <c r="H145" s="15">
        <v>2.0</v>
      </c>
      <c r="I145" s="15">
        <v>0.0</v>
      </c>
      <c r="J145" s="15">
        <v>10.0</v>
      </c>
      <c r="K145" s="15">
        <v>0.0</v>
      </c>
      <c r="L145" s="15">
        <v>10.0</v>
      </c>
      <c r="M145" s="15">
        <v>10.0</v>
      </c>
      <c r="N145" s="15">
        <v>10.0</v>
      </c>
      <c r="O145" s="15">
        <v>10.0</v>
      </c>
      <c r="P145" s="15">
        <v>10.0</v>
      </c>
      <c r="Q145" s="15">
        <v>10.0</v>
      </c>
      <c r="R145" s="15">
        <v>10.0</v>
      </c>
      <c r="S145" s="15">
        <v>10.0</v>
      </c>
      <c r="T145" s="15">
        <v>10.0</v>
      </c>
      <c r="U145" s="15">
        <v>10.0</v>
      </c>
      <c r="V145" s="15">
        <v>10.0</v>
      </c>
      <c r="W145" s="17">
        <v>9.0</v>
      </c>
    </row>
    <row r="146">
      <c r="A146" s="17" t="s">
        <v>211</v>
      </c>
      <c r="B146" s="17" t="s">
        <v>212</v>
      </c>
      <c r="C146" s="17" t="s">
        <v>213</v>
      </c>
      <c r="D146" s="15">
        <v>74.0</v>
      </c>
      <c r="E146" s="15">
        <v>2.0</v>
      </c>
      <c r="F146" s="15">
        <v>0.0</v>
      </c>
      <c r="G146" s="15">
        <v>0.0</v>
      </c>
      <c r="H146" s="15">
        <v>2.0</v>
      </c>
      <c r="I146" s="15">
        <v>0.0</v>
      </c>
      <c r="J146" s="15">
        <v>10.0</v>
      </c>
      <c r="K146" s="15">
        <v>10.0</v>
      </c>
      <c r="L146" s="15">
        <v>10.0</v>
      </c>
      <c r="M146" s="15">
        <v>0.0</v>
      </c>
      <c r="N146" s="15">
        <v>0.0</v>
      </c>
      <c r="O146" s="15">
        <v>10.0</v>
      </c>
      <c r="P146" s="15">
        <v>0.0</v>
      </c>
      <c r="Q146" s="15">
        <v>0.0</v>
      </c>
      <c r="R146" s="15">
        <v>10.0</v>
      </c>
      <c r="S146" s="15">
        <v>10.0</v>
      </c>
      <c r="T146" s="15">
        <v>0.0</v>
      </c>
      <c r="U146" s="15">
        <v>10.0</v>
      </c>
      <c r="V146" s="15">
        <v>0.0</v>
      </c>
      <c r="W146" s="17">
        <v>0.0</v>
      </c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D148" s="17" t="s">
        <v>214</v>
      </c>
      <c r="E148" s="18">
        <f t="shared" ref="E148:I148" si="6">AVERAGE(E88:E146)/2</f>
        <v>1</v>
      </c>
      <c r="F148" s="18">
        <f t="shared" si="6"/>
        <v>0.2203389831</v>
      </c>
      <c r="G148" s="18">
        <f t="shared" si="6"/>
        <v>0.9322033898</v>
      </c>
      <c r="H148" s="18">
        <f t="shared" si="6"/>
        <v>0.9830508475</v>
      </c>
      <c r="I148" s="18">
        <f t="shared" si="6"/>
        <v>0.8813559322</v>
      </c>
      <c r="J148" s="18">
        <f t="shared" ref="J148:W148" si="7">AVERAGE(J88:J146)/10</f>
        <v>0.9491525424</v>
      </c>
      <c r="K148" s="18">
        <f t="shared" si="7"/>
        <v>0.4915254237</v>
      </c>
      <c r="L148" s="18">
        <f t="shared" si="7"/>
        <v>0.9661016949</v>
      </c>
      <c r="M148" s="18">
        <f t="shared" si="7"/>
        <v>0.4237288136</v>
      </c>
      <c r="N148" s="18">
        <f t="shared" si="7"/>
        <v>0.5593220339</v>
      </c>
      <c r="O148" s="18">
        <f t="shared" si="7"/>
        <v>0.4576271186</v>
      </c>
      <c r="P148" s="18">
        <f t="shared" si="7"/>
        <v>0.3898305085</v>
      </c>
      <c r="Q148" s="18">
        <f t="shared" si="7"/>
        <v>0.7118644068</v>
      </c>
      <c r="R148" s="18">
        <f t="shared" si="7"/>
        <v>0.7627118644</v>
      </c>
      <c r="S148" s="18">
        <f t="shared" si="7"/>
        <v>0.6271186441</v>
      </c>
      <c r="T148" s="18">
        <f t="shared" si="7"/>
        <v>0.2203389831</v>
      </c>
      <c r="U148" s="18">
        <f t="shared" si="7"/>
        <v>0.7627118644</v>
      </c>
      <c r="V148" s="18">
        <f t="shared" si="7"/>
        <v>0.2586206897</v>
      </c>
      <c r="W148" s="18">
        <f t="shared" si="7"/>
        <v>0.8745454545</v>
      </c>
    </row>
  </sheetData>
  <conditionalFormatting sqref="E88:I146">
    <cfRule type="cellIs" dxfId="0" priority="1" operator="equal">
      <formula>2</formula>
    </cfRule>
  </conditionalFormatting>
  <conditionalFormatting sqref="E88:I146">
    <cfRule type="cellIs" dxfId="1" priority="2" operator="equal">
      <formula>0</formula>
    </cfRule>
  </conditionalFormatting>
  <conditionalFormatting sqref="J88:W146">
    <cfRule type="cellIs" dxfId="0" priority="3" operator="equal">
      <formula>10</formula>
    </cfRule>
  </conditionalFormatting>
  <conditionalFormatting sqref="J88:W146">
    <cfRule type="cellIs" dxfId="1" priority="4" operator="equal">
      <formula>0</formula>
    </cfRule>
  </conditionalFormatting>
  <conditionalFormatting sqref="J88:W146">
    <cfRule type="cellIs" dxfId="2" priority="5" operator="between">
      <formula>1</formula>
      <formula>10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 t="s">
        <v>0</v>
      </c>
      <c r="D1" s="1">
        <v>150.0</v>
      </c>
      <c r="E1" s="1" t="s">
        <v>1</v>
      </c>
      <c r="F1" s="1">
        <v>0.5296</v>
      </c>
      <c r="G1" s="3" t="s">
        <v>2</v>
      </c>
      <c r="H1" s="4">
        <f>AVERAGE(D3:D61)</f>
        <v>0.8000219259</v>
      </c>
    </row>
    <row r="2">
      <c r="A2" s="1" t="s">
        <v>3</v>
      </c>
      <c r="B2" s="1" t="s">
        <v>4</v>
      </c>
      <c r="C2" s="5" t="s">
        <v>5</v>
      </c>
      <c r="D2" s="1" t="s">
        <v>4</v>
      </c>
      <c r="E2" s="1" t="s">
        <v>6</v>
      </c>
      <c r="F2" s="1" t="s">
        <v>38</v>
      </c>
      <c r="G2" s="1" t="s">
        <v>8</v>
      </c>
      <c r="H2" s="8">
        <f>AVERAGE(A3:A61)/D1</f>
        <v>0.5748765432</v>
      </c>
    </row>
    <row r="3">
      <c r="A3" s="19">
        <v>105.0</v>
      </c>
      <c r="B3" s="8">
        <f t="shared" ref="B3:B56" si="1">A3/$D$1</f>
        <v>0.7</v>
      </c>
      <c r="C3" s="2">
        <f t="shared" ref="C3:C56" si="2">($D$1-A3)*$F$1+A3</f>
        <v>128.832</v>
      </c>
      <c r="D3" s="8">
        <f t="shared" ref="D3:D56" si="3">C3/$D$1</f>
        <v>0.85888</v>
      </c>
      <c r="E3" s="2">
        <f t="shared" ref="E3:E56" si="4">round(C3-A3,0)</f>
        <v>24</v>
      </c>
      <c r="F3" s="8">
        <f t="shared" ref="F3:F56" si="5">E3/$D$1</f>
        <v>0.16</v>
      </c>
      <c r="G3" s="2"/>
      <c r="H3" s="2"/>
    </row>
    <row r="4">
      <c r="A4" s="19">
        <v>66.5</v>
      </c>
      <c r="B4" s="8">
        <f t="shared" si="1"/>
        <v>0.4433333333</v>
      </c>
      <c r="C4" s="2">
        <f t="shared" si="2"/>
        <v>110.7216</v>
      </c>
      <c r="D4" s="8">
        <f t="shared" si="3"/>
        <v>0.738144</v>
      </c>
      <c r="E4" s="2">
        <f t="shared" si="4"/>
        <v>44</v>
      </c>
      <c r="F4" s="8">
        <f t="shared" si="5"/>
        <v>0.2933333333</v>
      </c>
      <c r="G4" s="2"/>
      <c r="H4" s="2"/>
    </row>
    <row r="5">
      <c r="A5" s="19">
        <v>118.0</v>
      </c>
      <c r="B5" s="8">
        <f t="shared" si="1"/>
        <v>0.7866666667</v>
      </c>
      <c r="C5" s="2">
        <f t="shared" si="2"/>
        <v>134.9472</v>
      </c>
      <c r="D5" s="8">
        <f t="shared" si="3"/>
        <v>0.899648</v>
      </c>
      <c r="E5" s="2">
        <f t="shared" si="4"/>
        <v>17</v>
      </c>
      <c r="F5" s="8">
        <f t="shared" si="5"/>
        <v>0.1133333333</v>
      </c>
      <c r="G5" s="2"/>
      <c r="H5" s="2"/>
    </row>
    <row r="6">
      <c r="A6" s="19">
        <v>60.0</v>
      </c>
      <c r="B6" s="8">
        <f t="shared" si="1"/>
        <v>0.4</v>
      </c>
      <c r="C6" s="2">
        <f t="shared" si="2"/>
        <v>107.664</v>
      </c>
      <c r="D6" s="8">
        <f t="shared" si="3"/>
        <v>0.71776</v>
      </c>
      <c r="E6" s="2">
        <f t="shared" si="4"/>
        <v>48</v>
      </c>
      <c r="F6" s="8">
        <f t="shared" si="5"/>
        <v>0.32</v>
      </c>
      <c r="G6" s="2"/>
      <c r="H6" s="2"/>
    </row>
    <row r="7">
      <c r="A7" s="19">
        <v>109.5</v>
      </c>
      <c r="B7" s="8">
        <f t="shared" si="1"/>
        <v>0.73</v>
      </c>
      <c r="C7" s="2">
        <f t="shared" si="2"/>
        <v>130.9488</v>
      </c>
      <c r="D7" s="8">
        <f t="shared" si="3"/>
        <v>0.872992</v>
      </c>
      <c r="E7" s="2">
        <f t="shared" si="4"/>
        <v>21</v>
      </c>
      <c r="F7" s="8">
        <f t="shared" si="5"/>
        <v>0.14</v>
      </c>
      <c r="G7" s="2"/>
      <c r="H7" s="2"/>
    </row>
    <row r="8">
      <c r="A8" s="19">
        <v>81.5</v>
      </c>
      <c r="B8" s="8">
        <f t="shared" si="1"/>
        <v>0.5433333333</v>
      </c>
      <c r="C8" s="2">
        <f t="shared" si="2"/>
        <v>117.7776</v>
      </c>
      <c r="D8" s="8">
        <f t="shared" si="3"/>
        <v>0.785184</v>
      </c>
      <c r="E8" s="2">
        <f t="shared" si="4"/>
        <v>36</v>
      </c>
      <c r="F8" s="8">
        <f t="shared" si="5"/>
        <v>0.24</v>
      </c>
      <c r="G8" s="2"/>
      <c r="H8" s="2"/>
    </row>
    <row r="9">
      <c r="A9" s="19">
        <v>102.0</v>
      </c>
      <c r="B9" s="8">
        <f t="shared" si="1"/>
        <v>0.68</v>
      </c>
      <c r="C9" s="2">
        <f t="shared" si="2"/>
        <v>127.4208</v>
      </c>
      <c r="D9" s="8">
        <f t="shared" si="3"/>
        <v>0.849472</v>
      </c>
      <c r="E9" s="2">
        <f t="shared" si="4"/>
        <v>25</v>
      </c>
      <c r="F9" s="8">
        <f t="shared" si="5"/>
        <v>0.1666666667</v>
      </c>
      <c r="G9" s="2"/>
      <c r="H9" s="2"/>
    </row>
    <row r="10">
      <c r="A10" s="19">
        <v>101.0</v>
      </c>
      <c r="B10" s="8">
        <f t="shared" si="1"/>
        <v>0.6733333333</v>
      </c>
      <c r="C10" s="2">
        <f t="shared" si="2"/>
        <v>126.9504</v>
      </c>
      <c r="D10" s="8">
        <f t="shared" si="3"/>
        <v>0.846336</v>
      </c>
      <c r="E10" s="2">
        <f t="shared" si="4"/>
        <v>26</v>
      </c>
      <c r="F10" s="8">
        <f t="shared" si="5"/>
        <v>0.1733333333</v>
      </c>
      <c r="G10" s="2"/>
      <c r="H10" s="2"/>
    </row>
    <row r="11">
      <c r="A11" s="19">
        <v>89.5</v>
      </c>
      <c r="B11" s="8">
        <f t="shared" si="1"/>
        <v>0.5966666667</v>
      </c>
      <c r="C11" s="2">
        <f t="shared" si="2"/>
        <v>121.5408</v>
      </c>
      <c r="D11" s="8">
        <f t="shared" si="3"/>
        <v>0.810272</v>
      </c>
      <c r="E11" s="2">
        <f t="shared" si="4"/>
        <v>32</v>
      </c>
      <c r="F11" s="8">
        <f t="shared" si="5"/>
        <v>0.2133333333</v>
      </c>
      <c r="G11" s="2"/>
      <c r="H11" s="2"/>
    </row>
    <row r="12">
      <c r="A12" s="19">
        <v>78.0</v>
      </c>
      <c r="B12" s="8">
        <f t="shared" si="1"/>
        <v>0.52</v>
      </c>
      <c r="C12" s="2">
        <f t="shared" si="2"/>
        <v>116.1312</v>
      </c>
      <c r="D12" s="8">
        <f t="shared" si="3"/>
        <v>0.774208</v>
      </c>
      <c r="E12" s="2">
        <f t="shared" si="4"/>
        <v>38</v>
      </c>
      <c r="F12" s="8">
        <f t="shared" si="5"/>
        <v>0.2533333333</v>
      </c>
      <c r="G12" s="2"/>
      <c r="H12" s="2"/>
    </row>
    <row r="13">
      <c r="A13" s="19">
        <v>111.0</v>
      </c>
      <c r="B13" s="8">
        <f t="shared" si="1"/>
        <v>0.74</v>
      </c>
      <c r="C13" s="2">
        <f t="shared" si="2"/>
        <v>131.6544</v>
      </c>
      <c r="D13" s="8">
        <f t="shared" si="3"/>
        <v>0.877696</v>
      </c>
      <c r="E13" s="2">
        <f t="shared" si="4"/>
        <v>21</v>
      </c>
      <c r="F13" s="8">
        <f t="shared" si="5"/>
        <v>0.14</v>
      </c>
      <c r="G13" s="2"/>
      <c r="H13" s="2"/>
    </row>
    <row r="14">
      <c r="A14" s="19">
        <v>70.0</v>
      </c>
      <c r="B14" s="8">
        <f t="shared" si="1"/>
        <v>0.4666666667</v>
      </c>
      <c r="C14" s="2">
        <f t="shared" si="2"/>
        <v>112.368</v>
      </c>
      <c r="D14" s="8">
        <f t="shared" si="3"/>
        <v>0.74912</v>
      </c>
      <c r="E14" s="2">
        <f t="shared" si="4"/>
        <v>42</v>
      </c>
      <c r="F14" s="8">
        <f t="shared" si="5"/>
        <v>0.28</v>
      </c>
      <c r="G14" s="2"/>
      <c r="H14" s="2"/>
    </row>
    <row r="15">
      <c r="A15" s="19">
        <v>90.0</v>
      </c>
      <c r="B15" s="8">
        <f t="shared" si="1"/>
        <v>0.6</v>
      </c>
      <c r="C15" s="2">
        <f t="shared" si="2"/>
        <v>121.776</v>
      </c>
      <c r="D15" s="8">
        <f t="shared" si="3"/>
        <v>0.81184</v>
      </c>
      <c r="E15" s="2">
        <f t="shared" si="4"/>
        <v>32</v>
      </c>
      <c r="F15" s="8">
        <f t="shared" si="5"/>
        <v>0.2133333333</v>
      </c>
      <c r="G15" s="2"/>
      <c r="H15" s="2"/>
    </row>
    <row r="16">
      <c r="A16" s="19">
        <v>56.5</v>
      </c>
      <c r="B16" s="8">
        <f t="shared" si="1"/>
        <v>0.3766666667</v>
      </c>
      <c r="C16" s="2">
        <f t="shared" si="2"/>
        <v>106.0176</v>
      </c>
      <c r="D16" s="8">
        <f t="shared" si="3"/>
        <v>0.706784</v>
      </c>
      <c r="E16" s="2">
        <f t="shared" si="4"/>
        <v>50</v>
      </c>
      <c r="F16" s="8">
        <f t="shared" si="5"/>
        <v>0.3333333333</v>
      </c>
      <c r="G16" s="2"/>
      <c r="H16" s="2"/>
    </row>
    <row r="17">
      <c r="A17" s="19">
        <v>105.5</v>
      </c>
      <c r="B17" s="8">
        <f t="shared" si="1"/>
        <v>0.7033333333</v>
      </c>
      <c r="C17" s="2">
        <f t="shared" si="2"/>
        <v>129.0672</v>
      </c>
      <c r="D17" s="8">
        <f t="shared" si="3"/>
        <v>0.860448</v>
      </c>
      <c r="E17" s="2">
        <f t="shared" si="4"/>
        <v>24</v>
      </c>
      <c r="F17" s="8">
        <f t="shared" si="5"/>
        <v>0.16</v>
      </c>
      <c r="G17" s="2"/>
      <c r="H17" s="2"/>
    </row>
    <row r="18">
      <c r="A18" s="19">
        <v>113.0</v>
      </c>
      <c r="B18" s="8">
        <f t="shared" si="1"/>
        <v>0.7533333333</v>
      </c>
      <c r="C18" s="2">
        <f t="shared" si="2"/>
        <v>132.5952</v>
      </c>
      <c r="D18" s="8">
        <f t="shared" si="3"/>
        <v>0.883968</v>
      </c>
      <c r="E18" s="2">
        <f t="shared" si="4"/>
        <v>20</v>
      </c>
      <c r="F18" s="8">
        <f t="shared" si="5"/>
        <v>0.1333333333</v>
      </c>
      <c r="G18" s="2"/>
      <c r="H18" s="2"/>
    </row>
    <row r="19">
      <c r="A19" s="19">
        <v>115.0</v>
      </c>
      <c r="B19" s="8">
        <f t="shared" si="1"/>
        <v>0.7666666667</v>
      </c>
      <c r="C19" s="2">
        <f t="shared" si="2"/>
        <v>133.536</v>
      </c>
      <c r="D19" s="8">
        <f t="shared" si="3"/>
        <v>0.89024</v>
      </c>
      <c r="E19" s="2">
        <f t="shared" si="4"/>
        <v>19</v>
      </c>
      <c r="F19" s="8">
        <f t="shared" si="5"/>
        <v>0.1266666667</v>
      </c>
      <c r="G19" s="2"/>
      <c r="H19" s="2"/>
    </row>
    <row r="20">
      <c r="A20" s="19">
        <v>105.0</v>
      </c>
      <c r="B20" s="8">
        <f t="shared" si="1"/>
        <v>0.7</v>
      </c>
      <c r="C20" s="2">
        <f t="shared" si="2"/>
        <v>128.832</v>
      </c>
      <c r="D20" s="8">
        <f t="shared" si="3"/>
        <v>0.85888</v>
      </c>
      <c r="E20" s="2">
        <f t="shared" si="4"/>
        <v>24</v>
      </c>
      <c r="F20" s="8">
        <f t="shared" si="5"/>
        <v>0.16</v>
      </c>
      <c r="G20" s="2"/>
      <c r="H20" s="2"/>
    </row>
    <row r="21">
      <c r="A21" s="19">
        <v>78.0</v>
      </c>
      <c r="B21" s="8">
        <f t="shared" si="1"/>
        <v>0.52</v>
      </c>
      <c r="C21" s="2">
        <f t="shared" si="2"/>
        <v>116.1312</v>
      </c>
      <c r="D21" s="8">
        <f t="shared" si="3"/>
        <v>0.774208</v>
      </c>
      <c r="E21" s="2">
        <f t="shared" si="4"/>
        <v>38</v>
      </c>
      <c r="F21" s="8">
        <f t="shared" si="5"/>
        <v>0.2533333333</v>
      </c>
      <c r="G21" s="2"/>
      <c r="H21" s="2"/>
    </row>
    <row r="22">
      <c r="A22" s="19">
        <v>73.5</v>
      </c>
      <c r="B22" s="8">
        <f t="shared" si="1"/>
        <v>0.49</v>
      </c>
      <c r="C22" s="2">
        <f t="shared" si="2"/>
        <v>114.0144</v>
      </c>
      <c r="D22" s="8">
        <f t="shared" si="3"/>
        <v>0.760096</v>
      </c>
      <c r="E22" s="2">
        <f t="shared" si="4"/>
        <v>41</v>
      </c>
      <c r="F22" s="8">
        <f t="shared" si="5"/>
        <v>0.2733333333</v>
      </c>
      <c r="G22" s="2"/>
      <c r="H22" s="2"/>
    </row>
    <row r="23">
      <c r="A23" s="19">
        <v>90.0</v>
      </c>
      <c r="B23" s="8">
        <f t="shared" si="1"/>
        <v>0.6</v>
      </c>
      <c r="C23" s="2">
        <f t="shared" si="2"/>
        <v>121.776</v>
      </c>
      <c r="D23" s="8">
        <f t="shared" si="3"/>
        <v>0.81184</v>
      </c>
      <c r="E23" s="2">
        <f t="shared" si="4"/>
        <v>32</v>
      </c>
      <c r="F23" s="8">
        <f t="shared" si="5"/>
        <v>0.2133333333</v>
      </c>
      <c r="G23" s="2"/>
      <c r="H23" s="2"/>
    </row>
    <row r="24">
      <c r="A24" s="19">
        <v>83.5</v>
      </c>
      <c r="B24" s="8">
        <f t="shared" si="1"/>
        <v>0.5566666667</v>
      </c>
      <c r="C24" s="2">
        <f t="shared" si="2"/>
        <v>118.7184</v>
      </c>
      <c r="D24" s="8">
        <f t="shared" si="3"/>
        <v>0.791456</v>
      </c>
      <c r="E24" s="2">
        <f t="shared" si="4"/>
        <v>35</v>
      </c>
      <c r="F24" s="8">
        <f t="shared" si="5"/>
        <v>0.2333333333</v>
      </c>
      <c r="G24" s="2"/>
      <c r="H24" s="2"/>
    </row>
    <row r="25">
      <c r="A25" s="19">
        <v>39.0</v>
      </c>
      <c r="B25" s="8">
        <f t="shared" si="1"/>
        <v>0.26</v>
      </c>
      <c r="C25" s="2">
        <f t="shared" si="2"/>
        <v>97.7856</v>
      </c>
      <c r="D25" s="8">
        <f t="shared" si="3"/>
        <v>0.651904</v>
      </c>
      <c r="E25" s="2">
        <f t="shared" si="4"/>
        <v>59</v>
      </c>
      <c r="F25" s="8">
        <f t="shared" si="5"/>
        <v>0.3933333333</v>
      </c>
      <c r="G25" s="2"/>
      <c r="H25" s="2"/>
    </row>
    <row r="26">
      <c r="A26" s="19">
        <v>115.5</v>
      </c>
      <c r="B26" s="8">
        <f t="shared" si="1"/>
        <v>0.77</v>
      </c>
      <c r="C26" s="2">
        <f t="shared" si="2"/>
        <v>133.7712</v>
      </c>
      <c r="D26" s="8">
        <f t="shared" si="3"/>
        <v>0.891808</v>
      </c>
      <c r="E26" s="2">
        <f t="shared" si="4"/>
        <v>18</v>
      </c>
      <c r="F26" s="8">
        <f t="shared" si="5"/>
        <v>0.12</v>
      </c>
      <c r="G26" s="2"/>
      <c r="H26" s="2"/>
    </row>
    <row r="27">
      <c r="A27" s="19">
        <v>99.0</v>
      </c>
      <c r="B27" s="8">
        <f t="shared" si="1"/>
        <v>0.66</v>
      </c>
      <c r="C27" s="2">
        <f t="shared" si="2"/>
        <v>126.0096</v>
      </c>
      <c r="D27" s="8">
        <f t="shared" si="3"/>
        <v>0.840064</v>
      </c>
      <c r="E27" s="2">
        <f t="shared" si="4"/>
        <v>27</v>
      </c>
      <c r="F27" s="8">
        <f t="shared" si="5"/>
        <v>0.18</v>
      </c>
      <c r="G27" s="2"/>
      <c r="H27" s="2"/>
    </row>
    <row r="28">
      <c r="A28" s="19">
        <v>33.5</v>
      </c>
      <c r="B28" s="8">
        <f t="shared" si="1"/>
        <v>0.2233333333</v>
      </c>
      <c r="C28" s="2">
        <f t="shared" si="2"/>
        <v>95.1984</v>
      </c>
      <c r="D28" s="8">
        <f t="shared" si="3"/>
        <v>0.634656</v>
      </c>
      <c r="E28" s="2">
        <f t="shared" si="4"/>
        <v>62</v>
      </c>
      <c r="F28" s="8">
        <f t="shared" si="5"/>
        <v>0.4133333333</v>
      </c>
      <c r="G28" s="2"/>
      <c r="H28" s="2"/>
    </row>
    <row r="29">
      <c r="A29" s="19">
        <v>75.5</v>
      </c>
      <c r="B29" s="8">
        <f t="shared" si="1"/>
        <v>0.5033333333</v>
      </c>
      <c r="C29" s="2">
        <f t="shared" si="2"/>
        <v>114.9552</v>
      </c>
      <c r="D29" s="8">
        <f t="shared" si="3"/>
        <v>0.766368</v>
      </c>
      <c r="E29" s="2">
        <f t="shared" si="4"/>
        <v>39</v>
      </c>
      <c r="F29" s="8">
        <f t="shared" si="5"/>
        <v>0.26</v>
      </c>
      <c r="G29" s="2"/>
      <c r="H29" s="2"/>
    </row>
    <row r="30">
      <c r="A30" s="19">
        <v>105.5</v>
      </c>
      <c r="B30" s="8">
        <f t="shared" si="1"/>
        <v>0.7033333333</v>
      </c>
      <c r="C30" s="2">
        <f t="shared" si="2"/>
        <v>129.0672</v>
      </c>
      <c r="D30" s="8">
        <f t="shared" si="3"/>
        <v>0.860448</v>
      </c>
      <c r="E30" s="2">
        <f t="shared" si="4"/>
        <v>24</v>
      </c>
      <c r="F30" s="8">
        <f t="shared" si="5"/>
        <v>0.16</v>
      </c>
      <c r="G30" s="2"/>
      <c r="H30" s="2"/>
    </row>
    <row r="31">
      <c r="A31" s="19">
        <v>80.0</v>
      </c>
      <c r="B31" s="8">
        <f t="shared" si="1"/>
        <v>0.5333333333</v>
      </c>
      <c r="C31" s="2">
        <f t="shared" si="2"/>
        <v>117.072</v>
      </c>
      <c r="D31" s="8">
        <f t="shared" si="3"/>
        <v>0.78048</v>
      </c>
      <c r="E31" s="2">
        <f t="shared" si="4"/>
        <v>37</v>
      </c>
      <c r="F31" s="8">
        <f t="shared" si="5"/>
        <v>0.2466666667</v>
      </c>
      <c r="G31" s="2"/>
      <c r="H31" s="2"/>
    </row>
    <row r="32">
      <c r="A32" s="19">
        <v>103.5</v>
      </c>
      <c r="B32" s="8">
        <f t="shared" si="1"/>
        <v>0.69</v>
      </c>
      <c r="C32" s="2">
        <f t="shared" si="2"/>
        <v>128.1264</v>
      </c>
      <c r="D32" s="8">
        <f t="shared" si="3"/>
        <v>0.854176</v>
      </c>
      <c r="E32" s="2">
        <f t="shared" si="4"/>
        <v>25</v>
      </c>
      <c r="F32" s="8">
        <f t="shared" si="5"/>
        <v>0.1666666667</v>
      </c>
      <c r="G32" s="2"/>
      <c r="H32" s="2"/>
    </row>
    <row r="33">
      <c r="A33" s="19">
        <v>108.0</v>
      </c>
      <c r="B33" s="8">
        <f t="shared" si="1"/>
        <v>0.72</v>
      </c>
      <c r="C33" s="2">
        <f t="shared" si="2"/>
        <v>130.2432</v>
      </c>
      <c r="D33" s="8">
        <f t="shared" si="3"/>
        <v>0.868288</v>
      </c>
      <c r="E33" s="2">
        <f t="shared" si="4"/>
        <v>22</v>
      </c>
      <c r="F33" s="8">
        <f t="shared" si="5"/>
        <v>0.1466666667</v>
      </c>
      <c r="G33" s="2"/>
      <c r="H33" s="2"/>
    </row>
    <row r="34">
      <c r="A34" s="19">
        <v>77.5</v>
      </c>
      <c r="B34" s="8">
        <f t="shared" si="1"/>
        <v>0.5166666667</v>
      </c>
      <c r="C34" s="2">
        <f t="shared" si="2"/>
        <v>115.896</v>
      </c>
      <c r="D34" s="8">
        <f t="shared" si="3"/>
        <v>0.77264</v>
      </c>
      <c r="E34" s="2">
        <f t="shared" si="4"/>
        <v>38</v>
      </c>
      <c r="F34" s="8">
        <f t="shared" si="5"/>
        <v>0.2533333333</v>
      </c>
      <c r="G34" s="2"/>
      <c r="H34" s="2"/>
    </row>
    <row r="35">
      <c r="A35" s="19">
        <v>108.5</v>
      </c>
      <c r="B35" s="8">
        <f t="shared" si="1"/>
        <v>0.7233333333</v>
      </c>
      <c r="C35" s="2">
        <f t="shared" si="2"/>
        <v>130.4784</v>
      </c>
      <c r="D35" s="8">
        <f t="shared" si="3"/>
        <v>0.869856</v>
      </c>
      <c r="E35" s="2">
        <f t="shared" si="4"/>
        <v>22</v>
      </c>
      <c r="F35" s="8">
        <f t="shared" si="5"/>
        <v>0.1466666667</v>
      </c>
      <c r="G35" s="2"/>
      <c r="H35" s="2"/>
    </row>
    <row r="36">
      <c r="A36" s="19">
        <v>87.0</v>
      </c>
      <c r="B36" s="8">
        <f t="shared" si="1"/>
        <v>0.58</v>
      </c>
      <c r="C36" s="2">
        <f t="shared" si="2"/>
        <v>120.3648</v>
      </c>
      <c r="D36" s="8">
        <f t="shared" si="3"/>
        <v>0.802432</v>
      </c>
      <c r="E36" s="2">
        <f t="shared" si="4"/>
        <v>33</v>
      </c>
      <c r="F36" s="8">
        <f t="shared" si="5"/>
        <v>0.22</v>
      </c>
      <c r="G36" s="2"/>
      <c r="H36" s="2"/>
    </row>
    <row r="37">
      <c r="A37" s="19">
        <v>98.5</v>
      </c>
      <c r="B37" s="8">
        <f t="shared" si="1"/>
        <v>0.6566666667</v>
      </c>
      <c r="C37" s="2">
        <f t="shared" si="2"/>
        <v>125.7744</v>
      </c>
      <c r="D37" s="8">
        <f t="shared" si="3"/>
        <v>0.838496</v>
      </c>
      <c r="E37" s="2">
        <f t="shared" si="4"/>
        <v>27</v>
      </c>
      <c r="F37" s="8">
        <f t="shared" si="5"/>
        <v>0.18</v>
      </c>
      <c r="G37" s="2"/>
      <c r="H37" s="2"/>
    </row>
    <row r="38">
      <c r="A38" s="19">
        <v>102.0</v>
      </c>
      <c r="B38" s="8">
        <f t="shared" si="1"/>
        <v>0.68</v>
      </c>
      <c r="C38" s="2">
        <f t="shared" si="2"/>
        <v>127.4208</v>
      </c>
      <c r="D38" s="8">
        <f t="shared" si="3"/>
        <v>0.849472</v>
      </c>
      <c r="E38" s="2">
        <f t="shared" si="4"/>
        <v>25</v>
      </c>
      <c r="F38" s="8">
        <f t="shared" si="5"/>
        <v>0.1666666667</v>
      </c>
      <c r="G38" s="2"/>
      <c r="H38" s="2"/>
    </row>
    <row r="39">
      <c r="A39" s="19">
        <v>93.0</v>
      </c>
      <c r="B39" s="8">
        <f t="shared" si="1"/>
        <v>0.62</v>
      </c>
      <c r="C39" s="2">
        <f t="shared" si="2"/>
        <v>123.1872</v>
      </c>
      <c r="D39" s="8">
        <f t="shared" si="3"/>
        <v>0.821248</v>
      </c>
      <c r="E39" s="2">
        <f t="shared" si="4"/>
        <v>30</v>
      </c>
      <c r="F39" s="8">
        <f t="shared" si="5"/>
        <v>0.2</v>
      </c>
      <c r="G39" s="2"/>
      <c r="H39" s="2"/>
    </row>
    <row r="40">
      <c r="A40" s="19">
        <v>134.5</v>
      </c>
      <c r="B40" s="8">
        <f t="shared" si="1"/>
        <v>0.8966666667</v>
      </c>
      <c r="C40" s="2">
        <f t="shared" si="2"/>
        <v>142.7088</v>
      </c>
      <c r="D40" s="8">
        <f t="shared" si="3"/>
        <v>0.951392</v>
      </c>
      <c r="E40" s="2">
        <f t="shared" si="4"/>
        <v>8</v>
      </c>
      <c r="F40" s="8">
        <f t="shared" si="5"/>
        <v>0.05333333333</v>
      </c>
      <c r="G40" s="2"/>
      <c r="H40" s="2"/>
    </row>
    <row r="41">
      <c r="A41" s="19">
        <v>83.0</v>
      </c>
      <c r="B41" s="8">
        <f t="shared" si="1"/>
        <v>0.5533333333</v>
      </c>
      <c r="C41" s="2">
        <f t="shared" si="2"/>
        <v>118.4832</v>
      </c>
      <c r="D41" s="8">
        <f t="shared" si="3"/>
        <v>0.789888</v>
      </c>
      <c r="E41" s="2">
        <f t="shared" si="4"/>
        <v>35</v>
      </c>
      <c r="F41" s="8">
        <f t="shared" si="5"/>
        <v>0.2333333333</v>
      </c>
      <c r="G41" s="2"/>
      <c r="H41" s="2"/>
    </row>
    <row r="42">
      <c r="A42" s="19">
        <v>61.0</v>
      </c>
      <c r="B42" s="8">
        <f t="shared" si="1"/>
        <v>0.4066666667</v>
      </c>
      <c r="C42" s="2">
        <f t="shared" si="2"/>
        <v>108.1344</v>
      </c>
      <c r="D42" s="8">
        <f t="shared" si="3"/>
        <v>0.720896</v>
      </c>
      <c r="E42" s="2">
        <f t="shared" si="4"/>
        <v>47</v>
      </c>
      <c r="F42" s="8">
        <f t="shared" si="5"/>
        <v>0.3133333333</v>
      </c>
      <c r="G42" s="2"/>
      <c r="H42" s="2"/>
    </row>
    <row r="43">
      <c r="A43" s="19">
        <v>92.5</v>
      </c>
      <c r="B43" s="8">
        <f t="shared" si="1"/>
        <v>0.6166666667</v>
      </c>
      <c r="C43" s="2">
        <f t="shared" si="2"/>
        <v>122.952</v>
      </c>
      <c r="D43" s="8">
        <f t="shared" si="3"/>
        <v>0.81968</v>
      </c>
      <c r="E43" s="2">
        <f t="shared" si="4"/>
        <v>30</v>
      </c>
      <c r="F43" s="8">
        <f t="shared" si="5"/>
        <v>0.2</v>
      </c>
      <c r="G43" s="2"/>
      <c r="H43" s="2"/>
    </row>
    <row r="44">
      <c r="A44" s="19">
        <v>66.0</v>
      </c>
      <c r="B44" s="8">
        <f t="shared" si="1"/>
        <v>0.44</v>
      </c>
      <c r="C44" s="2">
        <f t="shared" si="2"/>
        <v>110.4864</v>
      </c>
      <c r="D44" s="8">
        <f t="shared" si="3"/>
        <v>0.736576</v>
      </c>
      <c r="E44" s="2">
        <f t="shared" si="4"/>
        <v>44</v>
      </c>
      <c r="F44" s="8">
        <f t="shared" si="5"/>
        <v>0.2933333333</v>
      </c>
      <c r="G44" s="2"/>
      <c r="H44" s="2"/>
    </row>
    <row r="45">
      <c r="A45" s="19">
        <v>105.5</v>
      </c>
      <c r="B45" s="8">
        <f t="shared" si="1"/>
        <v>0.7033333333</v>
      </c>
      <c r="C45" s="2">
        <f t="shared" si="2"/>
        <v>129.0672</v>
      </c>
      <c r="D45" s="8">
        <f t="shared" si="3"/>
        <v>0.860448</v>
      </c>
      <c r="E45" s="2">
        <f t="shared" si="4"/>
        <v>24</v>
      </c>
      <c r="F45" s="8">
        <f t="shared" si="5"/>
        <v>0.16</v>
      </c>
      <c r="G45" s="2"/>
      <c r="H45" s="2"/>
    </row>
    <row r="46">
      <c r="A46" s="19">
        <v>83.0</v>
      </c>
      <c r="B46" s="8">
        <f t="shared" si="1"/>
        <v>0.5533333333</v>
      </c>
      <c r="C46" s="2">
        <f t="shared" si="2"/>
        <v>118.4832</v>
      </c>
      <c r="D46" s="8">
        <f t="shared" si="3"/>
        <v>0.789888</v>
      </c>
      <c r="E46" s="2">
        <f t="shared" si="4"/>
        <v>35</v>
      </c>
      <c r="F46" s="8">
        <f t="shared" si="5"/>
        <v>0.2333333333</v>
      </c>
      <c r="G46" s="2"/>
      <c r="H46" s="2"/>
    </row>
    <row r="47">
      <c r="A47" s="19">
        <v>71.0</v>
      </c>
      <c r="B47" s="8">
        <f t="shared" si="1"/>
        <v>0.4733333333</v>
      </c>
      <c r="C47" s="2">
        <f t="shared" si="2"/>
        <v>112.8384</v>
      </c>
      <c r="D47" s="8">
        <f t="shared" si="3"/>
        <v>0.752256</v>
      </c>
      <c r="E47" s="2">
        <f t="shared" si="4"/>
        <v>42</v>
      </c>
      <c r="F47" s="8">
        <f t="shared" si="5"/>
        <v>0.28</v>
      </c>
      <c r="G47" s="2"/>
      <c r="H47" s="2"/>
    </row>
    <row r="48">
      <c r="A48" s="19">
        <v>86.0</v>
      </c>
      <c r="B48" s="8">
        <f t="shared" si="1"/>
        <v>0.5733333333</v>
      </c>
      <c r="C48" s="2">
        <f t="shared" si="2"/>
        <v>119.8944</v>
      </c>
      <c r="D48" s="8">
        <f t="shared" si="3"/>
        <v>0.799296</v>
      </c>
      <c r="E48" s="2">
        <f t="shared" si="4"/>
        <v>34</v>
      </c>
      <c r="F48" s="8">
        <f t="shared" si="5"/>
        <v>0.2266666667</v>
      </c>
      <c r="G48" s="2"/>
      <c r="H48" s="2"/>
    </row>
    <row r="49">
      <c r="A49" s="19">
        <v>117.0</v>
      </c>
      <c r="B49" s="8">
        <f t="shared" si="1"/>
        <v>0.78</v>
      </c>
      <c r="C49" s="2">
        <f t="shared" si="2"/>
        <v>134.4768</v>
      </c>
      <c r="D49" s="8">
        <f t="shared" si="3"/>
        <v>0.896512</v>
      </c>
      <c r="E49" s="2">
        <f t="shared" si="4"/>
        <v>17</v>
      </c>
      <c r="F49" s="8">
        <f t="shared" si="5"/>
        <v>0.1133333333</v>
      </c>
      <c r="G49" s="2"/>
      <c r="H49" s="2"/>
    </row>
    <row r="50">
      <c r="A50" s="19">
        <v>31.5</v>
      </c>
      <c r="B50" s="8">
        <f t="shared" si="1"/>
        <v>0.21</v>
      </c>
      <c r="C50" s="2">
        <f t="shared" si="2"/>
        <v>94.2576</v>
      </c>
      <c r="D50" s="8">
        <f t="shared" si="3"/>
        <v>0.628384</v>
      </c>
      <c r="E50" s="2">
        <f t="shared" si="4"/>
        <v>63</v>
      </c>
      <c r="F50" s="8">
        <f t="shared" si="5"/>
        <v>0.42</v>
      </c>
      <c r="G50" s="2"/>
      <c r="H50" s="2"/>
    </row>
    <row r="51">
      <c r="A51" s="19">
        <v>113.5</v>
      </c>
      <c r="B51" s="8">
        <f t="shared" si="1"/>
        <v>0.7566666667</v>
      </c>
      <c r="C51" s="2">
        <f t="shared" si="2"/>
        <v>132.8304</v>
      </c>
      <c r="D51" s="8">
        <f t="shared" si="3"/>
        <v>0.885536</v>
      </c>
      <c r="E51" s="2">
        <f t="shared" si="4"/>
        <v>19</v>
      </c>
      <c r="F51" s="8">
        <f t="shared" si="5"/>
        <v>0.1266666667</v>
      </c>
      <c r="G51" s="2"/>
      <c r="H51" s="2"/>
    </row>
    <row r="52">
      <c r="A52" s="19">
        <v>53.5</v>
      </c>
      <c r="B52" s="8">
        <f t="shared" si="1"/>
        <v>0.3566666667</v>
      </c>
      <c r="C52" s="2">
        <f t="shared" si="2"/>
        <v>104.6064</v>
      </c>
      <c r="D52" s="8">
        <f t="shared" si="3"/>
        <v>0.697376</v>
      </c>
      <c r="E52" s="2">
        <f t="shared" si="4"/>
        <v>51</v>
      </c>
      <c r="F52" s="8">
        <f t="shared" si="5"/>
        <v>0.34</v>
      </c>
      <c r="G52" s="2"/>
      <c r="H52" s="2"/>
    </row>
    <row r="53">
      <c r="A53" s="19">
        <v>78.0</v>
      </c>
      <c r="B53" s="8">
        <f t="shared" si="1"/>
        <v>0.52</v>
      </c>
      <c r="C53" s="2">
        <f t="shared" si="2"/>
        <v>116.1312</v>
      </c>
      <c r="D53" s="8">
        <f t="shared" si="3"/>
        <v>0.774208</v>
      </c>
      <c r="E53" s="2">
        <f t="shared" si="4"/>
        <v>38</v>
      </c>
      <c r="F53" s="8">
        <f t="shared" si="5"/>
        <v>0.2533333333</v>
      </c>
      <c r="G53" s="2"/>
      <c r="H53" s="2"/>
    </row>
    <row r="54">
      <c r="A54" s="19">
        <v>48.5</v>
      </c>
      <c r="B54" s="8">
        <f t="shared" si="1"/>
        <v>0.3233333333</v>
      </c>
      <c r="C54" s="2">
        <f t="shared" si="2"/>
        <v>102.2544</v>
      </c>
      <c r="D54" s="8">
        <f t="shared" si="3"/>
        <v>0.681696</v>
      </c>
      <c r="E54" s="2">
        <f t="shared" si="4"/>
        <v>54</v>
      </c>
      <c r="F54" s="8">
        <f t="shared" si="5"/>
        <v>0.36</v>
      </c>
      <c r="G54" s="2"/>
      <c r="H54" s="2"/>
    </row>
    <row r="55">
      <c r="A55" s="19">
        <v>40.5</v>
      </c>
      <c r="B55" s="8">
        <f t="shared" si="1"/>
        <v>0.27</v>
      </c>
      <c r="C55" s="2">
        <f t="shared" si="2"/>
        <v>98.4912</v>
      </c>
      <c r="D55" s="8">
        <f t="shared" si="3"/>
        <v>0.656608</v>
      </c>
      <c r="E55" s="2">
        <f t="shared" si="4"/>
        <v>58</v>
      </c>
      <c r="F55" s="8">
        <f t="shared" si="5"/>
        <v>0.3866666667</v>
      </c>
      <c r="G55" s="2"/>
      <c r="H55" s="2"/>
    </row>
    <row r="56">
      <c r="A56" s="19">
        <v>63.5</v>
      </c>
      <c r="B56" s="8">
        <f t="shared" si="1"/>
        <v>0.4233333333</v>
      </c>
      <c r="C56" s="2">
        <f t="shared" si="2"/>
        <v>109.3104</v>
      </c>
      <c r="D56" s="8">
        <f t="shared" si="3"/>
        <v>0.728736</v>
      </c>
      <c r="E56" s="2">
        <f t="shared" si="4"/>
        <v>46</v>
      </c>
      <c r="F56" s="8">
        <f t="shared" si="5"/>
        <v>0.3066666667</v>
      </c>
      <c r="G56" s="2"/>
      <c r="H56" s="2"/>
    </row>
    <row r="57">
      <c r="A57" s="13"/>
      <c r="B57" s="8"/>
      <c r="C57" s="2"/>
      <c r="D57" s="8"/>
      <c r="E57" s="2"/>
      <c r="F57" s="8"/>
      <c r="G57" s="2"/>
      <c r="H57" s="2"/>
    </row>
    <row r="58">
      <c r="A58" s="13"/>
      <c r="B58" s="8"/>
      <c r="C58" s="2"/>
      <c r="D58" s="8"/>
      <c r="E58" s="2"/>
      <c r="F58" s="8"/>
      <c r="G58" s="2"/>
      <c r="H58" s="2"/>
    </row>
    <row r="59">
      <c r="A59" s="13"/>
      <c r="B59" s="8"/>
      <c r="C59" s="2"/>
      <c r="D59" s="8"/>
      <c r="E59" s="2"/>
      <c r="F59" s="8"/>
      <c r="G59" s="2"/>
      <c r="H59" s="2"/>
    </row>
    <row r="60">
      <c r="A60" s="13"/>
      <c r="B60" s="8"/>
      <c r="C60" s="2"/>
      <c r="D60" s="8"/>
      <c r="E60" s="2"/>
      <c r="F60" s="8"/>
      <c r="G60" s="2"/>
      <c r="H60" s="2"/>
    </row>
    <row r="61">
      <c r="A61" s="13"/>
      <c r="B61" s="8"/>
      <c r="C61" s="2"/>
      <c r="D61" s="8"/>
      <c r="E61" s="2"/>
      <c r="F61" s="8"/>
      <c r="G61" s="2"/>
      <c r="H61" s="2"/>
    </row>
    <row r="62">
      <c r="A62" s="14"/>
      <c r="B62" s="8">
        <f>AVERAGE(B3:B56)</f>
        <v>0.5748765432</v>
      </c>
      <c r="C62" s="2"/>
      <c r="D62" s="2"/>
      <c r="E62" s="2"/>
      <c r="F62" s="2"/>
      <c r="G62" s="2"/>
      <c r="H62" s="2"/>
    </row>
    <row r="73">
      <c r="A73" s="20" t="s">
        <v>42</v>
      </c>
      <c r="B73" s="20" t="s">
        <v>10</v>
      </c>
      <c r="C73" s="20" t="s">
        <v>11</v>
      </c>
      <c r="D73" s="20" t="s">
        <v>12</v>
      </c>
      <c r="E73" s="20" t="s">
        <v>13</v>
      </c>
      <c r="F73" s="20" t="s">
        <v>14</v>
      </c>
      <c r="G73" s="20" t="s">
        <v>15</v>
      </c>
      <c r="H73" s="20" t="s">
        <v>16</v>
      </c>
      <c r="I73" s="20" t="s">
        <v>17</v>
      </c>
      <c r="J73" s="20" t="s">
        <v>18</v>
      </c>
      <c r="K73" s="20" t="s">
        <v>19</v>
      </c>
      <c r="L73" s="20" t="s">
        <v>20</v>
      </c>
      <c r="M73" s="20" t="s">
        <v>21</v>
      </c>
      <c r="N73" s="20" t="s">
        <v>22</v>
      </c>
      <c r="O73" s="20" t="s">
        <v>23</v>
      </c>
      <c r="P73" s="20" t="s">
        <v>24</v>
      </c>
      <c r="Q73" s="20" t="s">
        <v>25</v>
      </c>
      <c r="R73" s="20" t="s">
        <v>215</v>
      </c>
      <c r="S73" s="20" t="s">
        <v>27</v>
      </c>
    </row>
    <row r="74">
      <c r="A74" s="19">
        <v>105.0</v>
      </c>
      <c r="B74" s="19">
        <v>2.0</v>
      </c>
      <c r="C74" s="19">
        <v>0.0</v>
      </c>
      <c r="D74" s="19">
        <v>2.0</v>
      </c>
      <c r="E74" s="19">
        <v>2.0</v>
      </c>
      <c r="F74" s="19">
        <v>2.0</v>
      </c>
      <c r="G74" s="19">
        <v>10.0</v>
      </c>
      <c r="H74" s="19">
        <v>0.0</v>
      </c>
      <c r="I74" s="19">
        <v>10.0</v>
      </c>
      <c r="J74" s="19">
        <v>10.0</v>
      </c>
      <c r="K74" s="19">
        <v>10.0</v>
      </c>
      <c r="L74" s="19">
        <v>0.0</v>
      </c>
      <c r="M74" s="19">
        <v>0.0</v>
      </c>
      <c r="N74" s="19">
        <v>10.0</v>
      </c>
      <c r="O74" s="19">
        <v>5.0</v>
      </c>
      <c r="P74" s="19">
        <v>10.0</v>
      </c>
      <c r="Q74" s="19">
        <v>10.0</v>
      </c>
      <c r="R74" s="19">
        <v>12.5</v>
      </c>
      <c r="S74" s="19">
        <v>9.5</v>
      </c>
    </row>
    <row r="75">
      <c r="A75" s="19">
        <v>66.5</v>
      </c>
      <c r="B75" s="19">
        <v>2.0</v>
      </c>
      <c r="C75" s="19">
        <v>0.0</v>
      </c>
      <c r="D75" s="19">
        <v>0.0</v>
      </c>
      <c r="E75" s="19">
        <v>0.0</v>
      </c>
      <c r="F75" s="19">
        <v>0.0</v>
      </c>
      <c r="G75" s="19">
        <v>10.0</v>
      </c>
      <c r="H75" s="19">
        <v>0.0</v>
      </c>
      <c r="I75" s="19">
        <v>10.0</v>
      </c>
      <c r="J75" s="19">
        <v>0.0</v>
      </c>
      <c r="K75" s="19">
        <v>10.0</v>
      </c>
      <c r="L75" s="19">
        <v>0.0</v>
      </c>
      <c r="M75" s="19">
        <v>0.0</v>
      </c>
      <c r="N75" s="19">
        <v>0.0</v>
      </c>
      <c r="O75" s="19">
        <v>10.0</v>
      </c>
      <c r="P75" s="19">
        <v>10.0</v>
      </c>
      <c r="Q75" s="19">
        <v>0.0</v>
      </c>
      <c r="R75" s="19">
        <v>5.0</v>
      </c>
      <c r="S75" s="19">
        <v>9.5</v>
      </c>
    </row>
    <row r="76">
      <c r="A76" s="19">
        <v>118.0</v>
      </c>
      <c r="B76" s="19">
        <v>2.0</v>
      </c>
      <c r="C76" s="19">
        <v>0.0</v>
      </c>
      <c r="D76" s="19">
        <v>2.0</v>
      </c>
      <c r="E76" s="19">
        <v>2.0</v>
      </c>
      <c r="F76" s="19">
        <v>0.0</v>
      </c>
      <c r="G76" s="19">
        <v>10.0</v>
      </c>
      <c r="H76" s="19">
        <v>10.0</v>
      </c>
      <c r="I76" s="19">
        <v>10.0</v>
      </c>
      <c r="J76" s="19">
        <v>10.0</v>
      </c>
      <c r="K76" s="19">
        <v>0.0</v>
      </c>
      <c r="L76" s="19">
        <v>10.0</v>
      </c>
      <c r="M76" s="19">
        <v>0.0</v>
      </c>
      <c r="N76" s="19">
        <v>10.0</v>
      </c>
      <c r="O76" s="19">
        <v>10.0</v>
      </c>
      <c r="P76" s="19">
        <v>10.0</v>
      </c>
      <c r="Q76" s="19">
        <v>10.0</v>
      </c>
      <c r="R76" s="19">
        <v>12.5</v>
      </c>
      <c r="S76" s="19">
        <v>9.5</v>
      </c>
    </row>
    <row r="77">
      <c r="A77" s="19">
        <v>60.0</v>
      </c>
      <c r="B77" s="19">
        <v>2.0</v>
      </c>
      <c r="C77" s="19">
        <v>0.0</v>
      </c>
      <c r="D77" s="19">
        <v>2.0</v>
      </c>
      <c r="E77" s="19">
        <v>2.0</v>
      </c>
      <c r="F77" s="19">
        <v>0.0</v>
      </c>
      <c r="G77" s="19">
        <v>0.0</v>
      </c>
      <c r="H77" s="19">
        <v>0.0</v>
      </c>
      <c r="I77" s="19">
        <v>0.0</v>
      </c>
      <c r="J77" s="19">
        <v>2.5</v>
      </c>
      <c r="K77" s="19">
        <v>0.0</v>
      </c>
      <c r="L77" s="19">
        <v>10.0</v>
      </c>
      <c r="M77" s="19">
        <v>0.0</v>
      </c>
      <c r="N77" s="19">
        <v>0.0</v>
      </c>
      <c r="O77" s="19">
        <v>5.0</v>
      </c>
      <c r="P77" s="19">
        <v>10.0</v>
      </c>
      <c r="Q77" s="19">
        <v>10.0</v>
      </c>
      <c r="R77" s="19">
        <v>7.5</v>
      </c>
      <c r="S77" s="19">
        <v>9.0</v>
      </c>
    </row>
    <row r="78">
      <c r="A78" s="19">
        <v>109.5</v>
      </c>
      <c r="B78" s="19">
        <v>2.0</v>
      </c>
      <c r="C78" s="19">
        <v>2.0</v>
      </c>
      <c r="D78" s="19">
        <v>2.0</v>
      </c>
      <c r="E78" s="19">
        <v>2.0</v>
      </c>
      <c r="F78" s="19">
        <v>2.0</v>
      </c>
      <c r="G78" s="19">
        <v>10.0</v>
      </c>
      <c r="H78" s="19">
        <v>0.0</v>
      </c>
      <c r="I78" s="19">
        <v>10.0</v>
      </c>
      <c r="J78" s="19">
        <v>10.0</v>
      </c>
      <c r="K78" s="19">
        <v>0.0</v>
      </c>
      <c r="L78" s="19">
        <v>0.0</v>
      </c>
      <c r="M78" s="19">
        <v>0.0</v>
      </c>
      <c r="N78" s="19">
        <v>10.0</v>
      </c>
      <c r="O78" s="19">
        <v>10.0</v>
      </c>
      <c r="P78" s="19">
        <v>10.0</v>
      </c>
      <c r="Q78" s="19">
        <v>10.0</v>
      </c>
      <c r="R78" s="19">
        <v>20.0</v>
      </c>
      <c r="S78" s="19">
        <v>9.5</v>
      </c>
    </row>
    <row r="79">
      <c r="A79" s="19">
        <v>81.5</v>
      </c>
      <c r="B79" s="19">
        <v>0.0</v>
      </c>
      <c r="C79" s="19">
        <v>0.0</v>
      </c>
      <c r="D79" s="19">
        <v>2.0</v>
      </c>
      <c r="E79" s="19">
        <v>2.0</v>
      </c>
      <c r="F79" s="19">
        <v>0.0</v>
      </c>
      <c r="G79" s="19">
        <v>10.0</v>
      </c>
      <c r="H79" s="19">
        <v>0.0</v>
      </c>
      <c r="I79" s="19">
        <v>10.0</v>
      </c>
      <c r="J79" s="19">
        <v>10.0</v>
      </c>
      <c r="K79" s="19">
        <v>0.0</v>
      </c>
      <c r="L79" s="19">
        <v>10.0</v>
      </c>
      <c r="M79" s="19">
        <v>0.0</v>
      </c>
      <c r="N79" s="19">
        <v>10.0</v>
      </c>
      <c r="O79" s="19">
        <v>5.0</v>
      </c>
      <c r="P79" s="19">
        <v>0.0</v>
      </c>
      <c r="Q79" s="19">
        <v>10.0</v>
      </c>
      <c r="R79" s="19">
        <v>12.5</v>
      </c>
      <c r="S79" s="20" t="s">
        <v>29</v>
      </c>
    </row>
    <row r="80">
      <c r="A80" s="19">
        <v>102.0</v>
      </c>
      <c r="B80" s="19">
        <v>2.0</v>
      </c>
      <c r="C80" s="19">
        <v>0.0</v>
      </c>
      <c r="D80" s="19">
        <v>2.0</v>
      </c>
      <c r="E80" s="19">
        <v>2.0</v>
      </c>
      <c r="F80" s="19">
        <v>2.0</v>
      </c>
      <c r="G80" s="19">
        <v>10.0</v>
      </c>
      <c r="H80" s="19">
        <v>10.0</v>
      </c>
      <c r="I80" s="19">
        <v>0.0</v>
      </c>
      <c r="J80" s="19">
        <v>10.0</v>
      </c>
      <c r="K80" s="19">
        <v>0.0</v>
      </c>
      <c r="L80" s="19">
        <v>0.0</v>
      </c>
      <c r="M80" s="19">
        <v>10.0</v>
      </c>
      <c r="N80" s="19">
        <v>10.0</v>
      </c>
      <c r="O80" s="19">
        <v>10.0</v>
      </c>
      <c r="P80" s="19">
        <v>0.0</v>
      </c>
      <c r="Q80" s="19">
        <v>10.0</v>
      </c>
      <c r="R80" s="19">
        <v>15.0</v>
      </c>
      <c r="S80" s="19">
        <v>9.0</v>
      </c>
    </row>
    <row r="81">
      <c r="A81" s="19">
        <v>101.0</v>
      </c>
      <c r="B81" s="19">
        <v>0.0</v>
      </c>
      <c r="C81" s="19">
        <v>0.0</v>
      </c>
      <c r="D81" s="19">
        <v>0.0</v>
      </c>
      <c r="E81" s="19">
        <v>2.0</v>
      </c>
      <c r="F81" s="19">
        <v>0.0</v>
      </c>
      <c r="G81" s="19">
        <v>10.0</v>
      </c>
      <c r="H81" s="19">
        <v>0.0</v>
      </c>
      <c r="I81" s="19">
        <v>10.0</v>
      </c>
      <c r="J81" s="19">
        <v>10.0</v>
      </c>
      <c r="K81" s="19">
        <v>0.0</v>
      </c>
      <c r="L81" s="19">
        <v>10.0</v>
      </c>
      <c r="M81" s="19">
        <v>10.0</v>
      </c>
      <c r="N81" s="19">
        <v>10.0</v>
      </c>
      <c r="O81" s="19">
        <v>10.0</v>
      </c>
      <c r="P81" s="19">
        <v>0.0</v>
      </c>
      <c r="Q81" s="19">
        <v>0.0</v>
      </c>
      <c r="R81" s="19">
        <v>20.0</v>
      </c>
      <c r="S81" s="19">
        <v>9.0</v>
      </c>
    </row>
    <row r="82">
      <c r="A82" s="19">
        <v>89.5</v>
      </c>
      <c r="B82" s="19">
        <v>2.0</v>
      </c>
      <c r="C82" s="19">
        <v>0.0</v>
      </c>
      <c r="D82" s="19">
        <v>2.0</v>
      </c>
      <c r="E82" s="19">
        <v>2.0</v>
      </c>
      <c r="F82" s="19">
        <v>2.0</v>
      </c>
      <c r="G82" s="19">
        <v>10.0</v>
      </c>
      <c r="H82" s="19">
        <v>0.0</v>
      </c>
      <c r="I82" s="19">
        <v>10.0</v>
      </c>
      <c r="J82" s="19">
        <v>10.0</v>
      </c>
      <c r="K82" s="19">
        <v>10.0</v>
      </c>
      <c r="L82" s="19">
        <v>0.0</v>
      </c>
      <c r="M82" s="19">
        <v>0.0</v>
      </c>
      <c r="N82" s="19">
        <v>10.0</v>
      </c>
      <c r="O82" s="19">
        <v>10.0</v>
      </c>
      <c r="P82" s="19">
        <v>0.0</v>
      </c>
      <c r="Q82" s="19">
        <v>0.0</v>
      </c>
      <c r="R82" s="19">
        <v>12.5</v>
      </c>
      <c r="S82" s="19">
        <v>9.0</v>
      </c>
    </row>
    <row r="83">
      <c r="A83" s="19">
        <v>78.0</v>
      </c>
      <c r="B83" s="19">
        <v>2.0</v>
      </c>
      <c r="C83" s="19">
        <v>0.0</v>
      </c>
      <c r="D83" s="19">
        <v>2.0</v>
      </c>
      <c r="E83" s="19">
        <v>0.0</v>
      </c>
      <c r="F83" s="19">
        <v>0.0</v>
      </c>
      <c r="G83" s="19">
        <v>0.0</v>
      </c>
      <c r="H83" s="19">
        <v>0.0</v>
      </c>
      <c r="I83" s="19">
        <v>10.0</v>
      </c>
      <c r="J83" s="19">
        <v>10.0</v>
      </c>
      <c r="K83" s="19">
        <v>0.0</v>
      </c>
      <c r="L83" s="19">
        <v>10.0</v>
      </c>
      <c r="M83" s="19">
        <v>0.0</v>
      </c>
      <c r="N83" s="19">
        <v>0.0</v>
      </c>
      <c r="O83" s="19">
        <v>10.0</v>
      </c>
      <c r="P83" s="19">
        <v>0.0</v>
      </c>
      <c r="Q83" s="19">
        <v>10.0</v>
      </c>
      <c r="R83" s="19">
        <v>15.0</v>
      </c>
      <c r="S83" s="19">
        <v>9.0</v>
      </c>
    </row>
    <row r="84">
      <c r="A84" s="19">
        <v>111.0</v>
      </c>
      <c r="B84" s="19">
        <v>2.0</v>
      </c>
      <c r="C84" s="19">
        <v>0.0</v>
      </c>
      <c r="D84" s="19">
        <v>0.0</v>
      </c>
      <c r="E84" s="19">
        <v>2.0</v>
      </c>
      <c r="F84" s="19">
        <v>0.0</v>
      </c>
      <c r="G84" s="19">
        <v>10.0</v>
      </c>
      <c r="H84" s="19">
        <v>10.0</v>
      </c>
      <c r="I84" s="19">
        <v>0.0</v>
      </c>
      <c r="J84" s="19">
        <v>7.5</v>
      </c>
      <c r="K84" s="19">
        <v>0.0</v>
      </c>
      <c r="L84" s="19">
        <v>10.0</v>
      </c>
      <c r="M84" s="19">
        <v>0.0</v>
      </c>
      <c r="N84" s="19">
        <v>10.0</v>
      </c>
      <c r="O84" s="19">
        <v>10.0</v>
      </c>
      <c r="P84" s="19">
        <v>10.0</v>
      </c>
      <c r="Q84" s="19">
        <v>10.0</v>
      </c>
      <c r="R84" s="19">
        <v>20.0</v>
      </c>
      <c r="S84" s="19">
        <v>9.5</v>
      </c>
    </row>
    <row r="85">
      <c r="A85" s="19">
        <v>70.0</v>
      </c>
      <c r="B85" s="19">
        <v>2.0</v>
      </c>
      <c r="C85" s="19">
        <v>0.0</v>
      </c>
      <c r="D85" s="19">
        <v>2.0</v>
      </c>
      <c r="E85" s="19">
        <v>2.0</v>
      </c>
      <c r="F85" s="19">
        <v>0.0</v>
      </c>
      <c r="G85" s="19">
        <v>10.0</v>
      </c>
      <c r="H85" s="19">
        <v>0.0</v>
      </c>
      <c r="I85" s="19">
        <v>0.0</v>
      </c>
      <c r="J85" s="19">
        <v>10.0</v>
      </c>
      <c r="K85" s="19">
        <v>0.0</v>
      </c>
      <c r="L85" s="19">
        <v>0.0</v>
      </c>
      <c r="M85" s="19">
        <v>0.0</v>
      </c>
      <c r="N85" s="19">
        <v>10.0</v>
      </c>
      <c r="O85" s="19">
        <v>7.5</v>
      </c>
      <c r="P85" s="19">
        <v>10.0</v>
      </c>
      <c r="Q85" s="19">
        <v>0.0</v>
      </c>
      <c r="R85" s="19">
        <v>7.5</v>
      </c>
      <c r="S85" s="19">
        <v>9.0</v>
      </c>
    </row>
    <row r="86">
      <c r="A86" s="19">
        <v>90.0</v>
      </c>
      <c r="B86" s="19">
        <v>2.0</v>
      </c>
      <c r="C86" s="19">
        <v>0.0</v>
      </c>
      <c r="D86" s="19">
        <v>2.0</v>
      </c>
      <c r="E86" s="19">
        <v>2.0</v>
      </c>
      <c r="F86" s="19">
        <v>0.0</v>
      </c>
      <c r="G86" s="19">
        <v>10.0</v>
      </c>
      <c r="H86" s="19">
        <v>0.0</v>
      </c>
      <c r="I86" s="19">
        <v>10.0</v>
      </c>
      <c r="J86" s="19">
        <v>10.0</v>
      </c>
      <c r="K86" s="19">
        <v>0.0</v>
      </c>
      <c r="L86" s="19">
        <v>10.0</v>
      </c>
      <c r="M86" s="19">
        <v>0.0</v>
      </c>
      <c r="N86" s="19">
        <v>10.0</v>
      </c>
      <c r="O86" s="19">
        <v>5.0</v>
      </c>
      <c r="P86" s="19">
        <v>0.0</v>
      </c>
      <c r="Q86" s="19">
        <v>10.0</v>
      </c>
      <c r="R86" s="19">
        <v>10.0</v>
      </c>
      <c r="S86" s="19">
        <v>9.0</v>
      </c>
    </row>
    <row r="87">
      <c r="A87" s="19">
        <v>56.5</v>
      </c>
      <c r="B87" s="19">
        <v>0.0</v>
      </c>
      <c r="C87" s="19">
        <v>2.0</v>
      </c>
      <c r="D87" s="19">
        <v>2.0</v>
      </c>
      <c r="E87" s="19">
        <v>2.0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10.0</v>
      </c>
      <c r="M87" s="19">
        <v>0.0</v>
      </c>
      <c r="N87" s="19">
        <v>0.0</v>
      </c>
      <c r="O87" s="19">
        <v>7.5</v>
      </c>
      <c r="P87" s="19">
        <v>10.0</v>
      </c>
      <c r="Q87" s="19">
        <v>0.0</v>
      </c>
      <c r="R87" s="19">
        <v>15.0</v>
      </c>
      <c r="S87" s="19">
        <v>8.0</v>
      </c>
    </row>
    <row r="88">
      <c r="A88" s="19">
        <v>105.5</v>
      </c>
      <c r="B88" s="19">
        <v>2.0</v>
      </c>
      <c r="C88" s="19">
        <v>0.0</v>
      </c>
      <c r="D88" s="19">
        <v>2.0</v>
      </c>
      <c r="E88" s="19">
        <v>2.0</v>
      </c>
      <c r="F88" s="19">
        <v>0.0</v>
      </c>
      <c r="G88" s="19">
        <v>0.0</v>
      </c>
      <c r="H88" s="19">
        <v>0.0</v>
      </c>
      <c r="I88" s="19">
        <v>10.0</v>
      </c>
      <c r="J88" s="19">
        <v>10.0</v>
      </c>
      <c r="K88" s="19">
        <v>0.0</v>
      </c>
      <c r="L88" s="19">
        <v>10.0</v>
      </c>
      <c r="M88" s="19">
        <v>10.0</v>
      </c>
      <c r="N88" s="19">
        <v>10.0</v>
      </c>
      <c r="O88" s="19">
        <v>10.0</v>
      </c>
      <c r="P88" s="19">
        <v>10.0</v>
      </c>
      <c r="Q88" s="19">
        <v>10.0</v>
      </c>
      <c r="R88" s="19">
        <v>10.0</v>
      </c>
      <c r="S88" s="19">
        <v>9.5</v>
      </c>
    </row>
    <row r="89">
      <c r="A89" s="19">
        <v>113.0</v>
      </c>
      <c r="B89" s="19">
        <v>2.0</v>
      </c>
      <c r="C89" s="19">
        <v>0.0</v>
      </c>
      <c r="D89" s="19">
        <v>2.0</v>
      </c>
      <c r="E89" s="19">
        <v>2.0</v>
      </c>
      <c r="F89" s="19">
        <v>0.0</v>
      </c>
      <c r="G89" s="19">
        <v>10.0</v>
      </c>
      <c r="H89" s="19">
        <v>0.0</v>
      </c>
      <c r="I89" s="19">
        <v>10.0</v>
      </c>
      <c r="J89" s="19">
        <v>7.5</v>
      </c>
      <c r="K89" s="19">
        <v>0.0</v>
      </c>
      <c r="L89" s="19">
        <v>10.0</v>
      </c>
      <c r="M89" s="19">
        <v>0.0</v>
      </c>
      <c r="N89" s="19">
        <v>10.0</v>
      </c>
      <c r="O89" s="19">
        <v>10.0</v>
      </c>
      <c r="P89" s="19">
        <v>10.0</v>
      </c>
      <c r="Q89" s="19">
        <v>10.0</v>
      </c>
      <c r="R89" s="19">
        <v>20.0</v>
      </c>
      <c r="S89" s="19">
        <v>9.5</v>
      </c>
    </row>
    <row r="90">
      <c r="A90" s="19">
        <v>115.0</v>
      </c>
      <c r="B90" s="19">
        <v>2.0</v>
      </c>
      <c r="C90" s="19">
        <v>0.0</v>
      </c>
      <c r="D90" s="19">
        <v>2.0</v>
      </c>
      <c r="E90" s="19">
        <v>2.0</v>
      </c>
      <c r="F90" s="19">
        <v>0.0</v>
      </c>
      <c r="G90" s="19">
        <v>0.0</v>
      </c>
      <c r="H90" s="19">
        <v>10.0</v>
      </c>
      <c r="I90" s="19">
        <v>10.0</v>
      </c>
      <c r="J90" s="19">
        <v>10.0</v>
      </c>
      <c r="K90" s="19">
        <v>0.0</v>
      </c>
      <c r="L90" s="19">
        <v>10.0</v>
      </c>
      <c r="M90" s="19">
        <v>10.0</v>
      </c>
      <c r="N90" s="19">
        <v>10.0</v>
      </c>
      <c r="O90" s="19">
        <v>10.0</v>
      </c>
      <c r="P90" s="19">
        <v>10.0</v>
      </c>
      <c r="Q90" s="19">
        <v>10.0</v>
      </c>
      <c r="R90" s="19">
        <v>10.0</v>
      </c>
      <c r="S90" s="19">
        <v>9.0</v>
      </c>
    </row>
    <row r="91">
      <c r="A91" s="19">
        <v>105.0</v>
      </c>
      <c r="B91" s="19">
        <v>2.0</v>
      </c>
      <c r="C91" s="19">
        <v>0.0</v>
      </c>
      <c r="D91" s="19">
        <v>2.0</v>
      </c>
      <c r="E91" s="19">
        <v>2.0</v>
      </c>
      <c r="F91" s="19">
        <v>0.0</v>
      </c>
      <c r="G91" s="19">
        <v>0.0</v>
      </c>
      <c r="H91" s="19">
        <v>0.0</v>
      </c>
      <c r="I91" s="19">
        <v>10.0</v>
      </c>
      <c r="J91" s="19">
        <v>10.0</v>
      </c>
      <c r="K91" s="19">
        <v>0.0</v>
      </c>
      <c r="L91" s="19">
        <v>10.0</v>
      </c>
      <c r="M91" s="19">
        <v>10.0</v>
      </c>
      <c r="N91" s="19">
        <v>10.0</v>
      </c>
      <c r="O91" s="19">
        <v>10.0</v>
      </c>
      <c r="P91" s="19">
        <v>10.0</v>
      </c>
      <c r="Q91" s="19">
        <v>10.0</v>
      </c>
      <c r="R91" s="19">
        <v>10.0</v>
      </c>
      <c r="S91" s="19">
        <v>9.0</v>
      </c>
    </row>
    <row r="92">
      <c r="A92" s="19">
        <v>78.0</v>
      </c>
      <c r="B92" s="19">
        <v>0.0</v>
      </c>
      <c r="C92" s="19">
        <v>2.0</v>
      </c>
      <c r="D92" s="19">
        <v>0.0</v>
      </c>
      <c r="E92" s="19">
        <v>0.0</v>
      </c>
      <c r="F92" s="19">
        <v>0.0</v>
      </c>
      <c r="G92" s="19">
        <v>10.0</v>
      </c>
      <c r="H92" s="19">
        <v>0.0</v>
      </c>
      <c r="I92" s="19">
        <v>0.0</v>
      </c>
      <c r="J92" s="19">
        <v>2.5</v>
      </c>
      <c r="K92" s="19">
        <v>0.0</v>
      </c>
      <c r="L92" s="19">
        <v>10.0</v>
      </c>
      <c r="M92" s="19">
        <v>0.0</v>
      </c>
      <c r="N92" s="19">
        <v>10.0</v>
      </c>
      <c r="O92" s="19">
        <v>10.0</v>
      </c>
      <c r="P92" s="19">
        <v>10.0</v>
      </c>
      <c r="Q92" s="19">
        <v>10.0</v>
      </c>
      <c r="R92" s="19">
        <v>5.0</v>
      </c>
      <c r="S92" s="19">
        <v>8.5</v>
      </c>
    </row>
    <row r="93">
      <c r="A93" s="19">
        <v>73.5</v>
      </c>
      <c r="B93" s="19">
        <v>2.0</v>
      </c>
      <c r="C93" s="19">
        <v>0.0</v>
      </c>
      <c r="D93" s="19">
        <v>2.0</v>
      </c>
      <c r="E93" s="19">
        <v>0.0</v>
      </c>
      <c r="F93" s="19">
        <v>0.0</v>
      </c>
      <c r="G93" s="19">
        <v>0.0</v>
      </c>
      <c r="H93" s="19">
        <v>0.0</v>
      </c>
      <c r="I93" s="19">
        <v>10.0</v>
      </c>
      <c r="J93" s="19">
        <v>0.0</v>
      </c>
      <c r="K93" s="19">
        <v>0.0</v>
      </c>
      <c r="L93" s="19">
        <v>10.0</v>
      </c>
      <c r="M93" s="19">
        <v>0.0</v>
      </c>
      <c r="N93" s="19">
        <v>0.0</v>
      </c>
      <c r="O93" s="19">
        <v>5.0</v>
      </c>
      <c r="P93" s="19">
        <v>10.0</v>
      </c>
      <c r="Q93" s="19">
        <v>10.0</v>
      </c>
      <c r="R93" s="19">
        <v>15.0</v>
      </c>
      <c r="S93" s="19">
        <v>9.5</v>
      </c>
    </row>
    <row r="94">
      <c r="A94" s="19">
        <v>90.0</v>
      </c>
      <c r="B94" s="19">
        <v>2.0</v>
      </c>
      <c r="C94" s="19">
        <v>0.0</v>
      </c>
      <c r="D94" s="19">
        <v>2.0</v>
      </c>
      <c r="E94" s="19">
        <v>2.0</v>
      </c>
      <c r="F94" s="19">
        <v>0.0</v>
      </c>
      <c r="G94" s="19">
        <v>10.0</v>
      </c>
      <c r="H94" s="19">
        <v>0.0</v>
      </c>
      <c r="I94" s="19">
        <v>10.0</v>
      </c>
      <c r="J94" s="19">
        <v>10.0</v>
      </c>
      <c r="K94" s="19">
        <v>0.0</v>
      </c>
      <c r="L94" s="19">
        <v>0.0</v>
      </c>
      <c r="M94" s="19">
        <v>0.0</v>
      </c>
      <c r="N94" s="19">
        <v>0.0</v>
      </c>
      <c r="O94" s="19">
        <v>10.0</v>
      </c>
      <c r="P94" s="19">
        <v>10.0</v>
      </c>
      <c r="Q94" s="19">
        <v>10.0</v>
      </c>
      <c r="R94" s="19">
        <v>15.0</v>
      </c>
      <c r="S94" s="19">
        <v>9.0</v>
      </c>
    </row>
    <row r="95">
      <c r="A95" s="19">
        <v>83.5</v>
      </c>
      <c r="B95" s="19">
        <v>2.0</v>
      </c>
      <c r="C95" s="19">
        <v>0.0</v>
      </c>
      <c r="D95" s="19">
        <v>2.0</v>
      </c>
      <c r="E95" s="19">
        <v>0.0</v>
      </c>
      <c r="F95" s="19">
        <v>0.0</v>
      </c>
      <c r="G95" s="19">
        <v>10.0</v>
      </c>
      <c r="H95" s="19">
        <v>10.0</v>
      </c>
      <c r="I95" s="19">
        <v>10.0</v>
      </c>
      <c r="J95" s="19">
        <v>10.0</v>
      </c>
      <c r="K95" s="19">
        <v>0.0</v>
      </c>
      <c r="L95" s="19">
        <v>0.0</v>
      </c>
      <c r="M95" s="19">
        <v>10.0</v>
      </c>
      <c r="N95" s="19">
        <v>0.0</v>
      </c>
      <c r="O95" s="19">
        <v>7.5</v>
      </c>
      <c r="P95" s="19">
        <v>0.0</v>
      </c>
      <c r="Q95" s="19">
        <v>10.0</v>
      </c>
      <c r="R95" s="19">
        <v>2.5</v>
      </c>
      <c r="S95" s="19">
        <v>9.5</v>
      </c>
    </row>
    <row r="96">
      <c r="A96" s="19">
        <v>39.0</v>
      </c>
      <c r="B96" s="19">
        <v>2.0</v>
      </c>
      <c r="C96" s="19">
        <v>0.0</v>
      </c>
      <c r="D96" s="19">
        <v>0.0</v>
      </c>
      <c r="E96" s="19">
        <v>0.0</v>
      </c>
      <c r="F96" s="19">
        <v>0.0</v>
      </c>
      <c r="G96" s="19">
        <v>0.0</v>
      </c>
      <c r="H96" s="19">
        <v>10.0</v>
      </c>
      <c r="I96" s="19">
        <v>0.0</v>
      </c>
      <c r="J96" s="19">
        <v>0.0</v>
      </c>
      <c r="K96" s="19">
        <v>0.0</v>
      </c>
      <c r="L96" s="19">
        <v>10.0</v>
      </c>
      <c r="M96" s="19">
        <v>0.0</v>
      </c>
      <c r="N96" s="19">
        <v>0.0</v>
      </c>
      <c r="O96" s="19">
        <v>2.5</v>
      </c>
      <c r="P96" s="19">
        <v>0.0</v>
      </c>
      <c r="Q96" s="19">
        <v>0.0</v>
      </c>
      <c r="R96" s="19">
        <v>5.0</v>
      </c>
      <c r="S96" s="19">
        <v>9.5</v>
      </c>
    </row>
    <row r="97">
      <c r="A97" s="19">
        <v>115.5</v>
      </c>
      <c r="B97" s="19">
        <v>2.0</v>
      </c>
      <c r="C97" s="19">
        <v>0.0</v>
      </c>
      <c r="D97" s="19">
        <v>0.0</v>
      </c>
      <c r="E97" s="19">
        <v>2.0</v>
      </c>
      <c r="F97" s="19">
        <v>2.0</v>
      </c>
      <c r="G97" s="19">
        <v>10.0</v>
      </c>
      <c r="H97" s="19">
        <v>0.0</v>
      </c>
      <c r="I97" s="19">
        <v>0.0</v>
      </c>
      <c r="J97" s="19">
        <v>10.0</v>
      </c>
      <c r="K97" s="19">
        <v>10.0</v>
      </c>
      <c r="L97" s="19">
        <v>10.0</v>
      </c>
      <c r="M97" s="19">
        <v>0.0</v>
      </c>
      <c r="N97" s="19">
        <v>10.0</v>
      </c>
      <c r="O97" s="19">
        <v>10.0</v>
      </c>
      <c r="P97" s="19">
        <v>10.0</v>
      </c>
      <c r="Q97" s="19">
        <v>10.0</v>
      </c>
      <c r="R97" s="19">
        <v>20.0</v>
      </c>
      <c r="S97" s="19">
        <v>9.5</v>
      </c>
    </row>
    <row r="98">
      <c r="A98" s="19">
        <v>99.0</v>
      </c>
      <c r="B98" s="19">
        <v>2.0</v>
      </c>
      <c r="C98" s="19">
        <v>2.0</v>
      </c>
      <c r="D98" s="19">
        <v>2.0</v>
      </c>
      <c r="E98" s="19">
        <v>2.0</v>
      </c>
      <c r="F98" s="19">
        <v>2.0</v>
      </c>
      <c r="G98" s="19">
        <v>10.0</v>
      </c>
      <c r="H98" s="19">
        <v>10.0</v>
      </c>
      <c r="I98" s="19">
        <v>0.0</v>
      </c>
      <c r="J98" s="19">
        <v>10.0</v>
      </c>
      <c r="K98" s="19">
        <v>0.0</v>
      </c>
      <c r="L98" s="19">
        <v>10.0</v>
      </c>
      <c r="M98" s="19">
        <v>0.0</v>
      </c>
      <c r="N98" s="19">
        <v>0.0</v>
      </c>
      <c r="O98" s="19">
        <v>10.0</v>
      </c>
      <c r="P98" s="19">
        <v>0.0</v>
      </c>
      <c r="Q98" s="19">
        <v>10.0</v>
      </c>
      <c r="R98" s="19">
        <v>20.0</v>
      </c>
      <c r="S98" s="19">
        <v>9.0</v>
      </c>
    </row>
    <row r="99">
      <c r="A99" s="19">
        <v>33.5</v>
      </c>
      <c r="B99" s="19">
        <v>0.0</v>
      </c>
      <c r="C99" s="19">
        <v>0.0</v>
      </c>
      <c r="D99" s="19">
        <v>0.0</v>
      </c>
      <c r="E99" s="19">
        <v>2.0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10.0</v>
      </c>
      <c r="L99" s="19">
        <v>0.0</v>
      </c>
      <c r="M99" s="19">
        <v>0.0</v>
      </c>
      <c r="N99" s="19">
        <v>0.0</v>
      </c>
      <c r="O99" s="19">
        <v>7.5</v>
      </c>
      <c r="P99" s="19">
        <v>0.0</v>
      </c>
      <c r="Q99" s="19">
        <v>0.0</v>
      </c>
      <c r="R99" s="19">
        <v>5.0</v>
      </c>
      <c r="S99" s="19">
        <v>9.0</v>
      </c>
    </row>
    <row r="100">
      <c r="A100" s="19">
        <v>75.5</v>
      </c>
      <c r="B100" s="19">
        <v>2.0</v>
      </c>
      <c r="C100" s="19">
        <v>0.0</v>
      </c>
      <c r="D100" s="19">
        <v>2.0</v>
      </c>
      <c r="E100" s="19">
        <v>2.0</v>
      </c>
      <c r="F100" s="19">
        <v>0.0</v>
      </c>
      <c r="G100" s="19">
        <v>0.0</v>
      </c>
      <c r="H100" s="19">
        <v>0.0</v>
      </c>
      <c r="I100" s="19">
        <v>10.0</v>
      </c>
      <c r="J100" s="19">
        <v>7.5</v>
      </c>
      <c r="K100" s="19">
        <v>0.0</v>
      </c>
      <c r="L100" s="19">
        <v>10.0</v>
      </c>
      <c r="M100" s="19">
        <v>0.0</v>
      </c>
      <c r="N100" s="19">
        <v>0.0</v>
      </c>
      <c r="O100" s="19">
        <v>7.5</v>
      </c>
      <c r="P100" s="19">
        <v>0.0</v>
      </c>
      <c r="Q100" s="19">
        <v>10.0</v>
      </c>
      <c r="R100" s="19">
        <v>15.0</v>
      </c>
      <c r="S100" s="19">
        <v>9.5</v>
      </c>
    </row>
    <row r="101">
      <c r="A101" s="19">
        <v>105.5</v>
      </c>
      <c r="B101" s="19">
        <v>2.0</v>
      </c>
      <c r="C101" s="19">
        <v>0.0</v>
      </c>
      <c r="D101" s="19">
        <v>0.0</v>
      </c>
      <c r="E101" s="19">
        <v>2.0</v>
      </c>
      <c r="F101" s="19">
        <v>0.0</v>
      </c>
      <c r="G101" s="19">
        <v>10.0</v>
      </c>
      <c r="H101" s="19">
        <v>10.0</v>
      </c>
      <c r="I101" s="19">
        <v>10.0</v>
      </c>
      <c r="J101" s="19">
        <v>7.5</v>
      </c>
      <c r="K101" s="19">
        <v>10.0</v>
      </c>
      <c r="L101" s="19">
        <v>10.0</v>
      </c>
      <c r="M101" s="19">
        <v>0.0</v>
      </c>
      <c r="N101" s="19">
        <v>0.0</v>
      </c>
      <c r="O101" s="19">
        <v>10.0</v>
      </c>
      <c r="P101" s="19">
        <v>10.0</v>
      </c>
      <c r="Q101" s="19">
        <v>0.0</v>
      </c>
      <c r="R101" s="19">
        <v>15.0</v>
      </c>
      <c r="S101" s="19">
        <v>9.0</v>
      </c>
    </row>
    <row r="102">
      <c r="A102" s="19">
        <v>80.0</v>
      </c>
      <c r="B102" s="19">
        <v>2.0</v>
      </c>
      <c r="C102" s="19">
        <v>0.0</v>
      </c>
      <c r="D102" s="19">
        <v>2.0</v>
      </c>
      <c r="E102" s="19">
        <v>2.0</v>
      </c>
      <c r="F102" s="19">
        <v>0.0</v>
      </c>
      <c r="G102" s="19">
        <v>0.0</v>
      </c>
      <c r="H102" s="19">
        <v>0.0</v>
      </c>
      <c r="I102" s="19">
        <v>10.0</v>
      </c>
      <c r="J102" s="19">
        <v>7.5</v>
      </c>
      <c r="K102" s="19">
        <v>0.0</v>
      </c>
      <c r="L102" s="19">
        <v>10.0</v>
      </c>
      <c r="M102" s="19">
        <v>0.0</v>
      </c>
      <c r="N102" s="19">
        <v>0.0</v>
      </c>
      <c r="O102" s="19">
        <v>7.5</v>
      </c>
      <c r="P102" s="19">
        <v>0.0</v>
      </c>
      <c r="Q102" s="19">
        <v>10.0</v>
      </c>
      <c r="R102" s="19">
        <v>20.0</v>
      </c>
      <c r="S102" s="19">
        <v>9.0</v>
      </c>
    </row>
    <row r="103">
      <c r="A103" s="19">
        <v>103.5</v>
      </c>
      <c r="B103" s="19">
        <v>2.0</v>
      </c>
      <c r="C103" s="19">
        <v>0.0</v>
      </c>
      <c r="D103" s="19">
        <v>0.0</v>
      </c>
      <c r="E103" s="19">
        <v>0.0</v>
      </c>
      <c r="F103" s="19">
        <v>0.0</v>
      </c>
      <c r="G103" s="19">
        <v>10.0</v>
      </c>
      <c r="H103" s="19">
        <v>10.0</v>
      </c>
      <c r="I103" s="19">
        <v>0.0</v>
      </c>
      <c r="J103" s="19">
        <v>10.0</v>
      </c>
      <c r="K103" s="19">
        <v>0.0</v>
      </c>
      <c r="L103" s="19">
        <v>10.0</v>
      </c>
      <c r="M103" s="19">
        <v>0.0</v>
      </c>
      <c r="N103" s="19">
        <v>10.0</v>
      </c>
      <c r="O103" s="19">
        <v>7.5</v>
      </c>
      <c r="P103" s="19">
        <v>10.0</v>
      </c>
      <c r="Q103" s="19">
        <v>10.0</v>
      </c>
      <c r="R103" s="19">
        <v>15.0</v>
      </c>
      <c r="S103" s="19">
        <v>9.0</v>
      </c>
    </row>
    <row r="104">
      <c r="A104" s="19">
        <v>108.0</v>
      </c>
      <c r="B104" s="19">
        <v>2.0</v>
      </c>
      <c r="C104" s="19">
        <v>0.0</v>
      </c>
      <c r="D104" s="19">
        <v>2.0</v>
      </c>
      <c r="E104" s="19">
        <v>2.0</v>
      </c>
      <c r="F104" s="19">
        <v>0.0</v>
      </c>
      <c r="G104" s="19">
        <v>10.0</v>
      </c>
      <c r="H104" s="19">
        <v>10.0</v>
      </c>
      <c r="I104" s="19">
        <v>10.0</v>
      </c>
      <c r="J104" s="19">
        <v>5.0</v>
      </c>
      <c r="K104" s="19">
        <v>0.0</v>
      </c>
      <c r="L104" s="19">
        <v>10.0</v>
      </c>
      <c r="M104" s="19">
        <v>0.0</v>
      </c>
      <c r="N104" s="19">
        <v>10.0</v>
      </c>
      <c r="O104" s="19">
        <v>5.0</v>
      </c>
      <c r="P104" s="19">
        <v>10.0</v>
      </c>
      <c r="Q104" s="19">
        <v>10.0</v>
      </c>
      <c r="R104" s="19">
        <v>12.5</v>
      </c>
      <c r="S104" s="19">
        <v>9.5</v>
      </c>
    </row>
    <row r="105">
      <c r="A105" s="19">
        <v>77.5</v>
      </c>
      <c r="B105" s="19">
        <v>2.0</v>
      </c>
      <c r="C105" s="19">
        <v>0.0</v>
      </c>
      <c r="D105" s="19">
        <v>2.0</v>
      </c>
      <c r="E105" s="19">
        <v>2.0</v>
      </c>
      <c r="F105" s="19">
        <v>0.0</v>
      </c>
      <c r="G105" s="19">
        <v>10.0</v>
      </c>
      <c r="H105" s="19">
        <v>10.0</v>
      </c>
      <c r="I105" s="19">
        <v>10.0</v>
      </c>
      <c r="J105" s="19">
        <v>7.5</v>
      </c>
      <c r="K105" s="19">
        <v>0.0</v>
      </c>
      <c r="L105" s="19">
        <v>0.0</v>
      </c>
      <c r="M105" s="19">
        <v>0.0</v>
      </c>
      <c r="N105" s="19">
        <v>0.0</v>
      </c>
      <c r="O105" s="19">
        <v>7.5</v>
      </c>
      <c r="P105" s="19">
        <v>0.0</v>
      </c>
      <c r="Q105" s="19">
        <v>10.0</v>
      </c>
      <c r="R105" s="19">
        <v>7.5</v>
      </c>
      <c r="S105" s="19">
        <v>9.0</v>
      </c>
    </row>
    <row r="106">
      <c r="A106" s="19">
        <v>108.5</v>
      </c>
      <c r="B106" s="19">
        <v>0.0</v>
      </c>
      <c r="C106" s="19">
        <v>0.0</v>
      </c>
      <c r="D106" s="19">
        <v>0.0</v>
      </c>
      <c r="E106" s="19">
        <v>2.0</v>
      </c>
      <c r="F106" s="19">
        <v>0.0</v>
      </c>
      <c r="G106" s="19">
        <v>10.0</v>
      </c>
      <c r="H106" s="19">
        <v>10.0</v>
      </c>
      <c r="I106" s="19">
        <v>0.0</v>
      </c>
      <c r="J106" s="19">
        <v>7.5</v>
      </c>
      <c r="K106" s="19">
        <v>0.0</v>
      </c>
      <c r="L106" s="19">
        <v>10.0</v>
      </c>
      <c r="M106" s="19">
        <v>0.0</v>
      </c>
      <c r="N106" s="19">
        <v>10.0</v>
      </c>
      <c r="O106" s="19">
        <v>10.0</v>
      </c>
      <c r="P106" s="19">
        <v>10.0</v>
      </c>
      <c r="Q106" s="19">
        <v>10.0</v>
      </c>
      <c r="R106" s="19">
        <v>20.0</v>
      </c>
      <c r="S106" s="19">
        <v>9.0</v>
      </c>
    </row>
    <row r="107">
      <c r="A107" s="19">
        <v>87.0</v>
      </c>
      <c r="B107" s="19">
        <v>2.0</v>
      </c>
      <c r="C107" s="19">
        <v>0.0</v>
      </c>
      <c r="D107" s="19">
        <v>2.0</v>
      </c>
      <c r="E107" s="19">
        <v>2.0</v>
      </c>
      <c r="F107" s="19">
        <v>2.0</v>
      </c>
      <c r="G107" s="19">
        <v>0.0</v>
      </c>
      <c r="H107" s="19">
        <v>10.0</v>
      </c>
      <c r="I107" s="19">
        <v>0.0</v>
      </c>
      <c r="J107" s="19">
        <v>7.5</v>
      </c>
      <c r="K107" s="19">
        <v>0.0</v>
      </c>
      <c r="L107" s="19">
        <v>10.0</v>
      </c>
      <c r="M107" s="19">
        <v>0.0</v>
      </c>
      <c r="N107" s="19">
        <v>10.0</v>
      </c>
      <c r="O107" s="19">
        <v>10.0</v>
      </c>
      <c r="P107" s="19">
        <v>0.0</v>
      </c>
      <c r="Q107" s="19">
        <v>10.0</v>
      </c>
      <c r="R107" s="19">
        <v>12.5</v>
      </c>
      <c r="S107" s="19">
        <v>9.0</v>
      </c>
    </row>
    <row r="108">
      <c r="A108" s="19">
        <v>98.5</v>
      </c>
      <c r="B108" s="19">
        <v>2.0</v>
      </c>
      <c r="C108" s="19">
        <v>0.0</v>
      </c>
      <c r="D108" s="19">
        <v>2.0</v>
      </c>
      <c r="E108" s="19">
        <v>2.0</v>
      </c>
      <c r="F108" s="19">
        <v>0.0</v>
      </c>
      <c r="G108" s="19">
        <v>0.0</v>
      </c>
      <c r="H108" s="19">
        <v>0.0</v>
      </c>
      <c r="I108" s="19">
        <v>10.0</v>
      </c>
      <c r="J108" s="19">
        <v>10.0</v>
      </c>
      <c r="K108" s="19">
        <v>0.0</v>
      </c>
      <c r="L108" s="19">
        <v>10.0</v>
      </c>
      <c r="M108" s="19">
        <v>0.0</v>
      </c>
      <c r="N108" s="19">
        <v>10.0</v>
      </c>
      <c r="O108" s="19">
        <v>10.0</v>
      </c>
      <c r="P108" s="19">
        <v>10.0</v>
      </c>
      <c r="Q108" s="19">
        <v>10.0</v>
      </c>
      <c r="R108" s="19">
        <v>12.5</v>
      </c>
      <c r="S108" s="19">
        <v>10.0</v>
      </c>
    </row>
    <row r="109">
      <c r="A109" s="19">
        <v>102.0</v>
      </c>
      <c r="B109" s="19">
        <v>2.0</v>
      </c>
      <c r="C109" s="19">
        <v>0.0</v>
      </c>
      <c r="D109" s="19">
        <v>2.0</v>
      </c>
      <c r="E109" s="19">
        <v>2.0</v>
      </c>
      <c r="F109" s="19">
        <v>2.0</v>
      </c>
      <c r="G109" s="19">
        <v>10.0</v>
      </c>
      <c r="H109" s="19">
        <v>10.0</v>
      </c>
      <c r="I109" s="19">
        <v>10.0</v>
      </c>
      <c r="J109" s="19">
        <v>0.0</v>
      </c>
      <c r="K109" s="19">
        <v>0.0</v>
      </c>
      <c r="L109" s="19">
        <v>10.0</v>
      </c>
      <c r="M109" s="19">
        <v>0.0</v>
      </c>
      <c r="N109" s="19">
        <v>10.0</v>
      </c>
      <c r="O109" s="19">
        <v>10.0</v>
      </c>
      <c r="P109" s="19">
        <v>10.0</v>
      </c>
      <c r="Q109" s="19">
        <v>10.0</v>
      </c>
      <c r="R109" s="19">
        <v>5.0</v>
      </c>
      <c r="S109" s="19">
        <v>9.0</v>
      </c>
    </row>
    <row r="110">
      <c r="A110" s="19">
        <v>93.0</v>
      </c>
      <c r="B110" s="19">
        <v>0.0</v>
      </c>
      <c r="C110" s="19">
        <v>0.0</v>
      </c>
      <c r="D110" s="19">
        <v>2.0</v>
      </c>
      <c r="E110" s="19">
        <v>2.0</v>
      </c>
      <c r="F110" s="19">
        <v>0.0</v>
      </c>
      <c r="G110" s="19">
        <v>10.0</v>
      </c>
      <c r="H110" s="19">
        <v>0.0</v>
      </c>
      <c r="I110" s="19">
        <v>0.0</v>
      </c>
      <c r="J110" s="19">
        <v>10.0</v>
      </c>
      <c r="K110" s="19">
        <v>0.0</v>
      </c>
      <c r="L110" s="19">
        <v>10.0</v>
      </c>
      <c r="M110" s="19">
        <v>0.0</v>
      </c>
      <c r="N110" s="19">
        <v>10.0</v>
      </c>
      <c r="O110" s="19">
        <v>10.0</v>
      </c>
      <c r="P110" s="19">
        <v>0.0</v>
      </c>
      <c r="Q110" s="19">
        <v>10.0</v>
      </c>
      <c r="R110" s="19">
        <v>20.0</v>
      </c>
      <c r="S110" s="19">
        <v>9.0</v>
      </c>
    </row>
    <row r="111">
      <c r="A111" s="19">
        <v>134.5</v>
      </c>
      <c r="B111" s="19">
        <v>2.0</v>
      </c>
      <c r="C111" s="19">
        <v>0.0</v>
      </c>
      <c r="D111" s="19">
        <v>2.0</v>
      </c>
      <c r="E111" s="19">
        <v>2.0</v>
      </c>
      <c r="F111" s="19">
        <v>0.0</v>
      </c>
      <c r="G111" s="19">
        <v>10.0</v>
      </c>
      <c r="H111" s="19">
        <v>10.0</v>
      </c>
      <c r="I111" s="19">
        <v>10.0</v>
      </c>
      <c r="J111" s="19">
        <v>10.0</v>
      </c>
      <c r="K111" s="19">
        <v>10.0</v>
      </c>
      <c r="L111" s="19">
        <v>10.0</v>
      </c>
      <c r="M111" s="19">
        <v>0.0</v>
      </c>
      <c r="N111" s="19">
        <v>10.0</v>
      </c>
      <c r="O111" s="19">
        <v>10.0</v>
      </c>
      <c r="P111" s="19">
        <v>10.0</v>
      </c>
      <c r="Q111" s="19">
        <v>10.0</v>
      </c>
      <c r="R111" s="19">
        <v>20.0</v>
      </c>
      <c r="S111" s="19">
        <v>8.5</v>
      </c>
    </row>
    <row r="112">
      <c r="A112" s="19">
        <v>83.0</v>
      </c>
      <c r="B112" s="19">
        <v>2.0</v>
      </c>
      <c r="C112" s="19">
        <v>0.0</v>
      </c>
      <c r="D112" s="19">
        <v>0.0</v>
      </c>
      <c r="E112" s="19">
        <v>2.0</v>
      </c>
      <c r="F112" s="19">
        <v>0.0</v>
      </c>
      <c r="G112" s="19">
        <v>0.0</v>
      </c>
      <c r="H112" s="19">
        <v>10.0</v>
      </c>
      <c r="I112" s="19">
        <v>10.0</v>
      </c>
      <c r="J112" s="19">
        <v>5.0</v>
      </c>
      <c r="K112" s="19">
        <v>0.0</v>
      </c>
      <c r="L112" s="19">
        <v>10.0</v>
      </c>
      <c r="M112" s="19">
        <v>0.0</v>
      </c>
      <c r="N112" s="19">
        <v>10.0</v>
      </c>
      <c r="O112" s="19">
        <v>10.0</v>
      </c>
      <c r="P112" s="19">
        <v>0.0</v>
      </c>
      <c r="Q112" s="19">
        <v>10.0</v>
      </c>
      <c r="R112" s="19">
        <v>5.0</v>
      </c>
      <c r="S112" s="19">
        <v>9.0</v>
      </c>
    </row>
    <row r="113">
      <c r="A113" s="19">
        <v>61.0</v>
      </c>
      <c r="B113" s="19">
        <v>0.0</v>
      </c>
      <c r="C113" s="19">
        <v>0.0</v>
      </c>
      <c r="D113" s="19">
        <v>0.0</v>
      </c>
      <c r="E113" s="19">
        <v>2.0</v>
      </c>
      <c r="F113" s="19">
        <v>0.0</v>
      </c>
      <c r="G113" s="19">
        <v>0.0</v>
      </c>
      <c r="H113" s="19">
        <v>10.0</v>
      </c>
      <c r="I113" s="19">
        <v>10.0</v>
      </c>
      <c r="J113" s="19">
        <v>5.0</v>
      </c>
      <c r="K113" s="19">
        <v>0.0</v>
      </c>
      <c r="L113" s="19">
        <v>10.0</v>
      </c>
      <c r="M113" s="19">
        <v>0.0</v>
      </c>
      <c r="N113" s="19">
        <v>10.0</v>
      </c>
      <c r="O113" s="19">
        <v>2.5</v>
      </c>
      <c r="P113" s="19">
        <v>0.0</v>
      </c>
      <c r="Q113" s="19">
        <v>0.0</v>
      </c>
      <c r="R113" s="19">
        <v>2.5</v>
      </c>
      <c r="S113" s="19">
        <v>9.0</v>
      </c>
    </row>
    <row r="114">
      <c r="A114" s="19">
        <v>92.5</v>
      </c>
      <c r="B114" s="19">
        <v>2.0</v>
      </c>
      <c r="C114" s="19">
        <v>0.0</v>
      </c>
      <c r="D114" s="19">
        <v>2.0</v>
      </c>
      <c r="E114" s="19">
        <v>2.0</v>
      </c>
      <c r="F114" s="19">
        <v>0.0</v>
      </c>
      <c r="G114" s="19">
        <v>10.0</v>
      </c>
      <c r="H114" s="19">
        <v>0.0</v>
      </c>
      <c r="I114" s="19">
        <v>0.0</v>
      </c>
      <c r="J114" s="19">
        <v>10.0</v>
      </c>
      <c r="K114" s="19">
        <v>0.0</v>
      </c>
      <c r="L114" s="19">
        <v>10.0</v>
      </c>
      <c r="M114" s="19">
        <v>0.0</v>
      </c>
      <c r="N114" s="19">
        <v>0.0</v>
      </c>
      <c r="O114" s="19">
        <v>10.0</v>
      </c>
      <c r="P114" s="19">
        <v>10.0</v>
      </c>
      <c r="Q114" s="19">
        <v>10.0</v>
      </c>
      <c r="R114" s="19">
        <v>17.5</v>
      </c>
      <c r="S114" s="19">
        <v>9.0</v>
      </c>
    </row>
    <row r="115">
      <c r="A115" s="19">
        <v>66.0</v>
      </c>
      <c r="B115" s="19">
        <v>2.0</v>
      </c>
      <c r="C115" s="19">
        <v>0.0</v>
      </c>
      <c r="D115" s="19">
        <v>2.0</v>
      </c>
      <c r="E115" s="19">
        <v>0.0</v>
      </c>
      <c r="F115" s="19">
        <v>0.0</v>
      </c>
      <c r="G115" s="19">
        <v>0.0</v>
      </c>
      <c r="H115" s="19">
        <v>0.0</v>
      </c>
      <c r="I115" s="19">
        <v>10.0</v>
      </c>
      <c r="J115" s="19">
        <v>0.0</v>
      </c>
      <c r="K115" s="19">
        <v>0.0</v>
      </c>
      <c r="L115" s="19">
        <v>10.0</v>
      </c>
      <c r="M115" s="19">
        <v>0.0</v>
      </c>
      <c r="N115" s="19">
        <v>0.0</v>
      </c>
      <c r="O115" s="19">
        <v>5.0</v>
      </c>
      <c r="P115" s="19">
        <v>0.0</v>
      </c>
      <c r="Q115" s="19">
        <v>10.0</v>
      </c>
      <c r="R115" s="19">
        <v>17.5</v>
      </c>
      <c r="S115" s="19">
        <v>9.5</v>
      </c>
    </row>
    <row r="116">
      <c r="A116" s="19">
        <v>105.5</v>
      </c>
      <c r="B116" s="19">
        <v>2.0</v>
      </c>
      <c r="C116" s="19">
        <v>0.0</v>
      </c>
      <c r="D116" s="19">
        <v>2.0</v>
      </c>
      <c r="E116" s="19">
        <v>2.0</v>
      </c>
      <c r="F116" s="19">
        <v>0.0</v>
      </c>
      <c r="G116" s="19">
        <v>10.0</v>
      </c>
      <c r="H116" s="19">
        <v>0.0</v>
      </c>
      <c r="I116" s="19">
        <v>10.0</v>
      </c>
      <c r="J116" s="19">
        <v>10.0</v>
      </c>
      <c r="K116" s="19">
        <v>10.0</v>
      </c>
      <c r="L116" s="19">
        <v>0.0</v>
      </c>
      <c r="M116" s="19">
        <v>0.0</v>
      </c>
      <c r="N116" s="19">
        <v>10.0</v>
      </c>
      <c r="O116" s="19">
        <v>5.0</v>
      </c>
      <c r="P116" s="19">
        <v>10.0</v>
      </c>
      <c r="Q116" s="19">
        <v>10.0</v>
      </c>
      <c r="R116" s="19">
        <v>15.0</v>
      </c>
      <c r="S116" s="19">
        <v>9.5</v>
      </c>
    </row>
    <row r="117">
      <c r="A117" s="19">
        <v>83.0</v>
      </c>
      <c r="B117" s="19">
        <v>2.0</v>
      </c>
      <c r="C117" s="19">
        <v>0.0</v>
      </c>
      <c r="D117" s="19">
        <v>2.0</v>
      </c>
      <c r="E117" s="19">
        <v>0.0</v>
      </c>
      <c r="F117" s="19">
        <v>0.0</v>
      </c>
      <c r="G117" s="19">
        <v>10.0</v>
      </c>
      <c r="H117" s="19">
        <v>0.0</v>
      </c>
      <c r="I117" s="19">
        <v>0.0</v>
      </c>
      <c r="J117" s="19">
        <v>10.0</v>
      </c>
      <c r="K117" s="19">
        <v>0.0</v>
      </c>
      <c r="L117" s="19">
        <v>10.0</v>
      </c>
      <c r="M117" s="19">
        <v>0.0</v>
      </c>
      <c r="N117" s="19">
        <v>0.0</v>
      </c>
      <c r="O117" s="19">
        <v>10.0</v>
      </c>
      <c r="P117" s="19">
        <v>0.0</v>
      </c>
      <c r="Q117" s="19">
        <v>10.0</v>
      </c>
      <c r="R117" s="19">
        <v>20.0</v>
      </c>
      <c r="S117" s="19">
        <v>9.0</v>
      </c>
    </row>
    <row r="118">
      <c r="A118" s="19">
        <v>71.0</v>
      </c>
      <c r="B118" s="19">
        <v>0.0</v>
      </c>
      <c r="C118" s="19">
        <v>0.0</v>
      </c>
      <c r="D118" s="19">
        <v>0.0</v>
      </c>
      <c r="E118" s="19">
        <v>2.0</v>
      </c>
      <c r="F118" s="19">
        <v>0.0</v>
      </c>
      <c r="G118" s="19">
        <v>10.0</v>
      </c>
      <c r="H118" s="19">
        <v>0.0</v>
      </c>
      <c r="I118" s="19">
        <v>0.0</v>
      </c>
      <c r="J118" s="19">
        <v>10.0</v>
      </c>
      <c r="K118" s="19">
        <v>10.0</v>
      </c>
      <c r="L118" s="19">
        <v>0.0</v>
      </c>
      <c r="M118" s="19">
        <v>0.0</v>
      </c>
      <c r="N118" s="19">
        <v>0.0</v>
      </c>
      <c r="O118" s="19">
        <v>7.5</v>
      </c>
      <c r="P118" s="19">
        <v>0.0</v>
      </c>
      <c r="Q118" s="19">
        <v>10.0</v>
      </c>
      <c r="R118" s="19">
        <v>12.5</v>
      </c>
      <c r="S118" s="19">
        <v>9.0</v>
      </c>
    </row>
    <row r="119">
      <c r="A119" s="19">
        <v>86.0</v>
      </c>
      <c r="B119" s="19">
        <v>2.0</v>
      </c>
      <c r="C119" s="19">
        <v>0.0</v>
      </c>
      <c r="D119" s="19">
        <v>2.0</v>
      </c>
      <c r="E119" s="19">
        <v>0.0</v>
      </c>
      <c r="F119" s="19">
        <v>0.0</v>
      </c>
      <c r="G119" s="19">
        <v>10.0</v>
      </c>
      <c r="H119" s="19">
        <v>0.0</v>
      </c>
      <c r="I119" s="19">
        <v>0.0</v>
      </c>
      <c r="J119" s="19">
        <v>7.5</v>
      </c>
      <c r="K119" s="19">
        <v>0.0</v>
      </c>
      <c r="L119" s="19">
        <v>10.0</v>
      </c>
      <c r="M119" s="19">
        <v>0.0</v>
      </c>
      <c r="N119" s="19">
        <v>10.0</v>
      </c>
      <c r="O119" s="19">
        <v>10.0</v>
      </c>
      <c r="P119" s="19">
        <v>0.0</v>
      </c>
      <c r="Q119" s="19">
        <v>10.0</v>
      </c>
      <c r="R119" s="19">
        <v>15.0</v>
      </c>
      <c r="S119" s="19">
        <v>9.5</v>
      </c>
    </row>
    <row r="120">
      <c r="A120" s="19">
        <v>117.0</v>
      </c>
      <c r="B120" s="19">
        <v>2.0</v>
      </c>
      <c r="C120" s="19">
        <v>0.0</v>
      </c>
      <c r="D120" s="19">
        <v>2.0</v>
      </c>
      <c r="E120" s="19">
        <v>2.0</v>
      </c>
      <c r="F120" s="19">
        <v>2.0</v>
      </c>
      <c r="G120" s="19">
        <v>10.0</v>
      </c>
      <c r="H120" s="19">
        <v>0.0</v>
      </c>
      <c r="I120" s="19">
        <v>10.0</v>
      </c>
      <c r="J120" s="19">
        <v>10.0</v>
      </c>
      <c r="K120" s="19">
        <v>0.0</v>
      </c>
      <c r="L120" s="19">
        <v>10.0</v>
      </c>
      <c r="M120" s="19">
        <v>0.0</v>
      </c>
      <c r="N120" s="19">
        <v>10.0</v>
      </c>
      <c r="O120" s="19">
        <v>10.0</v>
      </c>
      <c r="P120" s="19">
        <v>10.0</v>
      </c>
      <c r="Q120" s="19">
        <v>10.0</v>
      </c>
      <c r="R120" s="19">
        <v>20.0</v>
      </c>
      <c r="S120" s="19">
        <v>9.0</v>
      </c>
    </row>
    <row r="121">
      <c r="A121" s="19">
        <v>31.5</v>
      </c>
      <c r="B121" s="19">
        <v>0.0</v>
      </c>
      <c r="C121" s="19">
        <v>0.0</v>
      </c>
      <c r="D121" s="19">
        <v>0.0</v>
      </c>
      <c r="E121" s="19">
        <v>2.0</v>
      </c>
      <c r="F121" s="19">
        <v>2.0</v>
      </c>
      <c r="G121" s="19">
        <v>0.0</v>
      </c>
      <c r="H121" s="19">
        <v>0.0</v>
      </c>
      <c r="I121" s="19">
        <v>0.0</v>
      </c>
      <c r="J121" s="19">
        <v>5.0</v>
      </c>
      <c r="K121" s="19">
        <v>0.0</v>
      </c>
      <c r="L121" s="19">
        <v>10.0</v>
      </c>
      <c r="M121" s="19">
        <v>0.0</v>
      </c>
      <c r="N121" s="19">
        <v>0.0</v>
      </c>
      <c r="O121" s="19">
        <v>2.5</v>
      </c>
      <c r="P121" s="19">
        <v>0.0</v>
      </c>
      <c r="Q121" s="19">
        <v>0.0</v>
      </c>
      <c r="R121" s="19">
        <v>10.0</v>
      </c>
      <c r="S121" s="20" t="s">
        <v>29</v>
      </c>
    </row>
    <row r="122">
      <c r="A122" s="19">
        <v>113.5</v>
      </c>
      <c r="B122" s="19">
        <v>2.0</v>
      </c>
      <c r="C122" s="19">
        <v>0.0</v>
      </c>
      <c r="D122" s="19">
        <v>0.0</v>
      </c>
      <c r="E122" s="19">
        <v>2.0</v>
      </c>
      <c r="F122" s="19">
        <v>0.0</v>
      </c>
      <c r="G122" s="19">
        <v>10.0</v>
      </c>
      <c r="H122" s="19">
        <v>10.0</v>
      </c>
      <c r="I122" s="19">
        <v>10.0</v>
      </c>
      <c r="J122" s="19">
        <v>5.0</v>
      </c>
      <c r="K122" s="19">
        <v>0.0</v>
      </c>
      <c r="L122" s="19">
        <v>10.0</v>
      </c>
      <c r="M122" s="19">
        <v>0.0</v>
      </c>
      <c r="N122" s="19">
        <v>10.0</v>
      </c>
      <c r="O122" s="19">
        <v>5.0</v>
      </c>
      <c r="P122" s="19">
        <v>10.0</v>
      </c>
      <c r="Q122" s="19">
        <v>10.0</v>
      </c>
      <c r="R122" s="19">
        <v>20.0</v>
      </c>
      <c r="S122" s="19">
        <v>9.5</v>
      </c>
    </row>
    <row r="123">
      <c r="A123" s="19">
        <v>53.5</v>
      </c>
      <c r="B123" s="19">
        <v>0.0</v>
      </c>
      <c r="C123" s="19">
        <v>0.0</v>
      </c>
      <c r="D123" s="19">
        <v>2.0</v>
      </c>
      <c r="E123" s="19">
        <v>0.0</v>
      </c>
      <c r="F123" s="19">
        <v>0.0</v>
      </c>
      <c r="G123" s="19">
        <v>0.0</v>
      </c>
      <c r="H123" s="19">
        <v>0.0</v>
      </c>
      <c r="I123" s="19">
        <v>10.0</v>
      </c>
      <c r="J123" s="19">
        <v>2.5</v>
      </c>
      <c r="K123" s="19">
        <v>0.0</v>
      </c>
      <c r="L123" s="19">
        <v>10.0</v>
      </c>
      <c r="M123" s="19">
        <v>0.0</v>
      </c>
      <c r="N123" s="19">
        <v>0.0</v>
      </c>
      <c r="O123" s="19">
        <v>5.0</v>
      </c>
      <c r="P123" s="19">
        <v>0.0</v>
      </c>
      <c r="Q123" s="19">
        <v>10.0</v>
      </c>
      <c r="R123" s="19">
        <v>5.0</v>
      </c>
      <c r="S123" s="19">
        <v>9.0</v>
      </c>
    </row>
    <row r="124">
      <c r="A124" s="19">
        <v>78.0</v>
      </c>
      <c r="B124" s="19">
        <v>2.0</v>
      </c>
      <c r="C124" s="19">
        <v>0.0</v>
      </c>
      <c r="D124" s="19">
        <v>2.0</v>
      </c>
      <c r="E124" s="19">
        <v>2.0</v>
      </c>
      <c r="F124" s="19">
        <v>0.0</v>
      </c>
      <c r="G124" s="19">
        <v>10.0</v>
      </c>
      <c r="H124" s="19">
        <v>10.0</v>
      </c>
      <c r="I124" s="19">
        <v>10.0</v>
      </c>
      <c r="J124" s="19">
        <v>10.0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10.0</v>
      </c>
      <c r="P124" s="19">
        <v>0.0</v>
      </c>
      <c r="Q124" s="19">
        <v>10.0</v>
      </c>
      <c r="R124" s="19">
        <v>2.5</v>
      </c>
      <c r="S124" s="19">
        <v>9.5</v>
      </c>
    </row>
    <row r="125">
      <c r="A125" s="19">
        <v>48.5</v>
      </c>
      <c r="B125" s="19">
        <v>2.0</v>
      </c>
      <c r="C125" s="19">
        <v>0.0</v>
      </c>
      <c r="D125" s="19">
        <v>2.0</v>
      </c>
      <c r="E125" s="19">
        <v>0.0</v>
      </c>
      <c r="F125" s="19">
        <v>0.0</v>
      </c>
      <c r="G125" s="19">
        <v>0.0</v>
      </c>
      <c r="H125" s="19">
        <v>0.0</v>
      </c>
      <c r="I125" s="19">
        <v>10.0</v>
      </c>
      <c r="J125" s="20" t="s">
        <v>29</v>
      </c>
      <c r="K125" s="19">
        <v>0.0</v>
      </c>
      <c r="L125" s="19">
        <v>10.0</v>
      </c>
      <c r="M125" s="19">
        <v>0.0</v>
      </c>
      <c r="N125" s="19">
        <v>0.0</v>
      </c>
      <c r="O125" s="20" t="s">
        <v>29</v>
      </c>
      <c r="P125" s="19">
        <v>0.0</v>
      </c>
      <c r="Q125" s="19">
        <v>10.0</v>
      </c>
      <c r="R125" s="19">
        <v>5.0</v>
      </c>
      <c r="S125" s="19">
        <v>9.5</v>
      </c>
    </row>
    <row r="126">
      <c r="A126" s="19">
        <v>40.5</v>
      </c>
      <c r="B126" s="19">
        <v>2.0</v>
      </c>
      <c r="C126" s="19">
        <v>0.0</v>
      </c>
      <c r="D126" s="19">
        <v>2.0</v>
      </c>
      <c r="E126" s="19">
        <v>2.0</v>
      </c>
      <c r="F126" s="19">
        <v>0.0</v>
      </c>
      <c r="G126" s="19">
        <v>10.0</v>
      </c>
      <c r="H126" s="19">
        <v>0.0</v>
      </c>
      <c r="I126" s="19">
        <v>10.0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5.0</v>
      </c>
      <c r="S126" s="19">
        <v>9.5</v>
      </c>
    </row>
    <row r="127">
      <c r="A127" s="19">
        <v>63.5</v>
      </c>
      <c r="B127" s="19">
        <v>2.0</v>
      </c>
      <c r="C127" s="19">
        <v>0.0</v>
      </c>
      <c r="D127" s="19">
        <v>0.0</v>
      </c>
      <c r="E127" s="19">
        <v>2.0</v>
      </c>
      <c r="F127" s="19">
        <v>2.0</v>
      </c>
      <c r="G127" s="19">
        <v>10.0</v>
      </c>
      <c r="H127" s="19">
        <v>10.0</v>
      </c>
      <c r="I127" s="19">
        <v>10.0</v>
      </c>
      <c r="J127" s="19">
        <v>5.0</v>
      </c>
      <c r="K127" s="19">
        <v>0.0</v>
      </c>
      <c r="L127" s="19">
        <v>10.0</v>
      </c>
      <c r="M127" s="19">
        <v>0.0</v>
      </c>
      <c r="N127" s="19">
        <v>0.0</v>
      </c>
      <c r="O127" s="19">
        <v>0.0</v>
      </c>
      <c r="P127" s="19">
        <v>10.0</v>
      </c>
      <c r="Q127" s="19">
        <v>0.0</v>
      </c>
      <c r="R127" s="19">
        <v>2.5</v>
      </c>
      <c r="S127" s="20" t="s">
        <v>29</v>
      </c>
    </row>
    <row r="128">
      <c r="A128" s="19">
        <v>86.23</v>
      </c>
      <c r="B128" s="19">
        <v>1.59</v>
      </c>
      <c r="C128" s="19">
        <v>0.15</v>
      </c>
      <c r="D128" s="19">
        <v>1.41</v>
      </c>
      <c r="E128" s="19">
        <v>1.56</v>
      </c>
      <c r="F128" s="19">
        <v>0.41</v>
      </c>
      <c r="G128" s="19">
        <v>6.48</v>
      </c>
      <c r="H128" s="19">
        <v>3.7</v>
      </c>
      <c r="I128" s="19">
        <v>6.48</v>
      </c>
      <c r="J128" s="19">
        <v>6.94</v>
      </c>
      <c r="K128" s="19">
        <v>1.67</v>
      </c>
      <c r="L128" s="19">
        <v>7.41</v>
      </c>
      <c r="M128" s="19">
        <v>1.11</v>
      </c>
      <c r="N128" s="19">
        <v>5.56</v>
      </c>
      <c r="O128" s="19">
        <v>7.69</v>
      </c>
      <c r="P128" s="19">
        <v>5.19</v>
      </c>
      <c r="Q128" s="19">
        <v>7.78</v>
      </c>
      <c r="R128" s="19">
        <v>12.45</v>
      </c>
      <c r="S128" s="19">
        <v>8.67</v>
      </c>
    </row>
  </sheetData>
  <drawing r:id="rId1"/>
</worksheet>
</file>