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<sst xmlns="http://schemas.openxmlformats.org/spreadsheetml/2006/main" count="4" uniqueCount="4">
  <si>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T</t>
  </si>
  <si>
    <t>D</t>
  </si>
  <si>
    <t>1/T</t>
  </si>
  <si>
    <t>Ln(D)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</si>
</sst>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Log(D) vs. 1/T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Sheet1!$E$4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Sheet1!$D$5:$D$19</c:f>
            </c:numRef>
          </c:xVal>
          <c:yVal>
            <c:numRef>
              <c:f>Sheet1!$E$5:$E$19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712166"/>
        <c:axId val="380820865"/>
      </c:scatterChart>
      <c:valAx>
        <c:axId val="19407121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1/T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0820865"/>
      </c:valAx>
      <c:valAx>
        <c:axId val="3808208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Log(D)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07121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219075</xdr:colOff>
      <xdr:row>2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4">
      <c r="B4" s="1" t="s">
        <v>0</v>
      </c>
      <c r="C4" s="1" t="s">
        <v>1</v>
      </c>
      <c r="D4" s="1" t="s">
        <v>2</v>
      </c>
      <c r="E4" s="1" t="s">
        <v>3</v>
      </c>
    </row>
    <row r="5">
      <c r="B5" s="1">
        <v>373.0</v>
      </c>
      <c r="C5" s="2">
        <v>8.1E-10</v>
      </c>
      <c r="D5" s="3">
        <f t="shared" ref="D5:D19" si="1">1/B5</f>
        <v>0.002680965147</v>
      </c>
      <c r="E5" s="3">
        <f t="shared" ref="E5:E19" si="2">LN(C5)</f>
        <v>-20.93398687</v>
      </c>
    </row>
    <row r="6">
      <c r="B6" s="1">
        <v>473.0</v>
      </c>
      <c r="C6" s="2">
        <v>9.99E-9</v>
      </c>
      <c r="D6" s="3">
        <f t="shared" si="1"/>
        <v>0.002114164905</v>
      </c>
      <c r="E6" s="3">
        <f t="shared" si="2"/>
        <v>-18.42168124</v>
      </c>
    </row>
    <row r="7">
      <c r="B7" s="1">
        <v>573.0</v>
      </c>
      <c r="C7" s="2">
        <v>3.22E-8</v>
      </c>
      <c r="D7" s="3">
        <f t="shared" si="1"/>
        <v>0.001745200698</v>
      </c>
      <c r="E7" s="3">
        <f t="shared" si="2"/>
        <v>-17.25129938</v>
      </c>
    </row>
    <row r="8">
      <c r="B8" s="1">
        <v>673.0</v>
      </c>
      <c r="C8" s="2">
        <v>2.58E-7</v>
      </c>
      <c r="D8" s="3">
        <f t="shared" si="1"/>
        <v>0.001485884101</v>
      </c>
      <c r="E8" s="3">
        <f t="shared" si="2"/>
        <v>-15.17030625</v>
      </c>
    </row>
    <row r="9">
      <c r="B9" s="3">
        <f t="shared" ref="B9:B19" si="3">B8+100</f>
        <v>773</v>
      </c>
      <c r="C9" s="2">
        <v>3.2E-7</v>
      </c>
      <c r="D9" s="3">
        <f t="shared" si="1"/>
        <v>0.001293661061</v>
      </c>
      <c r="E9" s="3">
        <f t="shared" si="2"/>
        <v>-14.95494484</v>
      </c>
    </row>
    <row r="10">
      <c r="B10" s="3">
        <f t="shared" si="3"/>
        <v>873</v>
      </c>
      <c r="C10" s="2">
        <v>1.5E-6</v>
      </c>
      <c r="D10" s="3">
        <f t="shared" si="1"/>
        <v>0.001145475372</v>
      </c>
      <c r="E10" s="3">
        <f t="shared" si="2"/>
        <v>-13.41004545</v>
      </c>
    </row>
    <row r="11">
      <c r="B11" s="3">
        <f t="shared" si="3"/>
        <v>973</v>
      </c>
      <c r="C11" s="2">
        <v>4.21E-6</v>
      </c>
      <c r="D11" s="3">
        <f t="shared" si="1"/>
        <v>0.001027749229</v>
      </c>
      <c r="E11" s="3">
        <f t="shared" si="2"/>
        <v>-12.37804791</v>
      </c>
    </row>
    <row r="12">
      <c r="B12" s="3">
        <f t="shared" si="3"/>
        <v>1073</v>
      </c>
      <c r="C12" s="2">
        <v>4.54E-6</v>
      </c>
      <c r="D12" s="3">
        <f t="shared" si="1"/>
        <v>0.0009319664492</v>
      </c>
      <c r="E12" s="3">
        <f t="shared" si="2"/>
        <v>-12.30258355</v>
      </c>
    </row>
    <row r="13">
      <c r="B13" s="3">
        <f t="shared" si="3"/>
        <v>1173</v>
      </c>
      <c r="C13" s="2">
        <v>6.85E-6</v>
      </c>
      <c r="D13" s="3">
        <f t="shared" si="1"/>
        <v>0.000852514919</v>
      </c>
      <c r="E13" s="3">
        <f t="shared" si="2"/>
        <v>-11.89126191</v>
      </c>
    </row>
    <row r="14">
      <c r="B14" s="3">
        <f t="shared" si="3"/>
        <v>1273</v>
      </c>
      <c r="C14" s="2">
        <v>7.19E-6</v>
      </c>
      <c r="D14" s="3">
        <f t="shared" si="1"/>
        <v>0.0007855459544</v>
      </c>
      <c r="E14" s="3">
        <f t="shared" si="2"/>
        <v>-11.84281939</v>
      </c>
    </row>
    <row r="15">
      <c r="B15" s="3">
        <f t="shared" si="3"/>
        <v>1373</v>
      </c>
      <c r="C15" s="2">
        <v>1.3E-5</v>
      </c>
      <c r="D15" s="3">
        <f t="shared" si="1"/>
        <v>0.0007283321194</v>
      </c>
      <c r="E15" s="3">
        <f t="shared" si="2"/>
        <v>-11.2505612</v>
      </c>
    </row>
    <row r="16">
      <c r="B16" s="3">
        <f t="shared" si="3"/>
        <v>1473</v>
      </c>
      <c r="C16" s="2">
        <v>1.68E-5</v>
      </c>
      <c r="D16" s="3">
        <f t="shared" si="1"/>
        <v>0.0006788866259</v>
      </c>
      <c r="E16" s="3">
        <f t="shared" si="2"/>
        <v>-10.99413167</v>
      </c>
    </row>
    <row r="17">
      <c r="B17" s="3">
        <f t="shared" si="3"/>
        <v>1573</v>
      </c>
      <c r="C17" s="2">
        <v>3.32E-5</v>
      </c>
      <c r="D17" s="3">
        <f t="shared" si="1"/>
        <v>0.0006357279085</v>
      </c>
      <c r="E17" s="3">
        <f t="shared" si="2"/>
        <v>-10.31296068</v>
      </c>
    </row>
    <row r="18">
      <c r="B18" s="3">
        <f t="shared" si="3"/>
        <v>1673</v>
      </c>
      <c r="C18" s="2">
        <v>2.56E-5</v>
      </c>
      <c r="D18" s="3">
        <f t="shared" si="1"/>
        <v>0.0005977286312</v>
      </c>
      <c r="E18" s="3">
        <f t="shared" si="2"/>
        <v>-10.57291821</v>
      </c>
    </row>
    <row r="19">
      <c r="B19" s="3">
        <f t="shared" si="3"/>
        <v>1773</v>
      </c>
      <c r="C19" s="2">
        <v>2.85E-5</v>
      </c>
      <c r="D19" s="3">
        <f t="shared" si="1"/>
        <v>0.0005640157924</v>
      </c>
      <c r="E19" s="3">
        <f t="shared" si="2"/>
        <v>-10.46560647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