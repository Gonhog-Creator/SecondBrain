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<sst xmlns="http://schemas.openxmlformats.org/spreadsheetml/2006/main" count="63" uniqueCount="46">
  <si>
    <t>Paid by Jose</t>
  </si>
  <si>
    <t>Left over</t>
  </si>
  <si>
    <t>Jose to pay</t>
  </si>
  <si>
    <t>Charlotte to pay</t>
  </si>
  <si>
    <t>Paid To mom</t>
  </si>
  <si>
    <t>TO be paid to mom</t>
  </si>
  <si>
    <t>Total</t>
  </si>
  <si>
    <t>Total Costs</t>
  </si>
  <si>
    <t>AirBnB 1 First</t>
  </si>
  <si>
    <t>AirBnB 1 Second</t>
  </si>
  <si>
    <t>AirBnb 2</t>
  </si>
  <si>
    <t>Flights</t>
  </si>
  <si>
    <t>Uber</t>
  </si>
  <si>
    <t>Car</t>
  </si>
  <si>
    <t>Return Airport</t>
  </si>
  <si>
    <t xml:space="preserve"> </t>
  </si>
  <si>
    <t>Batsu</t>
  </si>
  <si>
    <t xml:space="preserve">AirBnb 2 cancel </t>
  </si>
  <si>
    <t>Costs from card</t>
  </si>
  <si>
    <t>Carrerra NP</t>
  </si>
  <si>
    <t>hotel Orquedias</t>
  </si>
  <si>
    <t>fresh fruit</t>
  </si>
  <si>
    <t>gas</t>
  </si>
  <si>
    <t>food</t>
  </si>
  <si>
    <t>park pass</t>
  </si>
  <si>
    <t>food/groceries</t>
  </si>
  <si>
    <t>Cataratas pass</t>
  </si>
  <si>
    <t>Hotel Elysiana</t>
  </si>
  <si>
    <t>Toucans</t>
  </si>
  <si>
    <t>Marino NP Pass</t>
  </si>
  <si>
    <t>Food</t>
  </si>
  <si>
    <t>Hotel Jaquares</t>
  </si>
  <si>
    <t>Corcovado trip</t>
  </si>
  <si>
    <t>mabuel antonio</t>
  </si>
  <si>
    <t>Park pass Manuel</t>
  </si>
  <si>
    <t>Park pass Los Quedas</t>
  </si>
  <si>
    <t>fod</t>
  </si>
  <si>
    <t>Green Forest NP</t>
  </si>
  <si>
    <t>Orquedia Hotel</t>
  </si>
  <si>
    <t>Hotel Arenal</t>
  </si>
  <si>
    <t xml:space="preserve">aalujueja park </t>
  </si>
  <si>
    <t>jungle tour</t>
  </si>
  <si>
    <t>car toll</t>
  </si>
  <si>
    <t>food at airport</t>
  </si>
  <si>
    <t>Hotel</t>
  </si>
  <si>
    <t xml:space="preserve">Drake Airbnb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</si>
</sst>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</cols>
  <sheetData>
    <row r="3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</row>
    <row r="4">
      <c r="B4" s="1" t="s">
        <v>6</v>
      </c>
      <c r="C4" s="2">
        <f>SUM(C6:C997)</f>
        <v>4834.09</v>
      </c>
      <c r="D4" s="2">
        <f>SUM(D6:D1000)</f>
        <v>1696.76</v>
      </c>
      <c r="E4" s="2">
        <f>C4-D4</f>
        <v>3137.33</v>
      </c>
      <c r="F4" s="2">
        <f>C4/2-D4</f>
        <v>720.285</v>
      </c>
      <c r="G4" s="2">
        <f>C4/2</f>
        <v>2417.045</v>
      </c>
      <c r="H4" s="1">
        <v>3137.33</v>
      </c>
      <c r="I4" s="2">
        <f>F4+G4-H4</f>
        <v>0</v>
      </c>
    </row>
    <row r="5">
      <c r="C5" s="1" t="s">
        <v>7</v>
      </c>
      <c r="E5" s="1"/>
    </row>
    <row r="6">
      <c r="B6" s="1" t="s">
        <v>8</v>
      </c>
      <c r="C6" s="1">
        <v>127.82</v>
      </c>
      <c r="D6" s="2">
        <f t="shared" ref="D6:D9" si="1">C6</f>
        <v>127.82</v>
      </c>
    </row>
    <row r="7">
      <c r="B7" s="1" t="s">
        <v>9</v>
      </c>
      <c r="C7" s="1">
        <v>511.24</v>
      </c>
      <c r="D7" s="2">
        <f t="shared" si="1"/>
        <v>511.24</v>
      </c>
    </row>
    <row r="8">
      <c r="B8" s="1" t="s">
        <v>10</v>
      </c>
      <c r="C8" s="1">
        <v>316.96</v>
      </c>
      <c r="D8" s="2">
        <f t="shared" si="1"/>
        <v>316.96</v>
      </c>
    </row>
    <row r="9">
      <c r="B9" s="1" t="s">
        <v>11</v>
      </c>
      <c r="C9" s="1">
        <v>960.0</v>
      </c>
      <c r="D9" s="2">
        <f t="shared" si="1"/>
        <v>960</v>
      </c>
    </row>
    <row r="10">
      <c r="B10" s="1" t="s">
        <v>12</v>
      </c>
      <c r="C10" s="1">
        <v>55.0</v>
      </c>
    </row>
    <row r="11">
      <c r="B11" s="1" t="s">
        <v>13</v>
      </c>
      <c r="C11" s="1">
        <v>541.27</v>
      </c>
    </row>
    <row r="12">
      <c r="B12" s="1" t="s">
        <v>14</v>
      </c>
      <c r="C12" s="1">
        <v>26.01</v>
      </c>
      <c r="D12" s="1" t="s">
        <v>15</v>
      </c>
    </row>
    <row r="13">
      <c r="B13" s="1" t="s">
        <v>14</v>
      </c>
      <c r="C13" s="1">
        <v>17.4</v>
      </c>
      <c r="D13" s="2">
        <f t="shared" ref="D13:D15" si="2">C13</f>
        <v>17.4</v>
      </c>
    </row>
    <row r="14">
      <c r="B14" s="1" t="s">
        <v>16</v>
      </c>
      <c r="C14" s="1">
        <v>19.59</v>
      </c>
      <c r="D14" s="2">
        <f t="shared" si="2"/>
        <v>19.59</v>
      </c>
    </row>
    <row r="15">
      <c r="B15" s="1" t="s">
        <v>17</v>
      </c>
      <c r="C15" s="1">
        <v>-256.25</v>
      </c>
      <c r="D15" s="2">
        <f t="shared" si="2"/>
        <v>-256.25</v>
      </c>
    </row>
    <row r="16">
      <c r="A16" s="1" t="s">
        <v>18</v>
      </c>
      <c r="B16" s="1" t="s">
        <v>19</v>
      </c>
      <c r="C16" s="1">
        <v>22.6</v>
      </c>
    </row>
    <row r="17">
      <c r="B17" s="1" t="s">
        <v>20</v>
      </c>
      <c r="C17" s="1">
        <v>2.93</v>
      </c>
    </row>
    <row r="18">
      <c r="B18" s="1" t="s">
        <v>21</v>
      </c>
      <c r="C18" s="1">
        <v>1.8</v>
      </c>
    </row>
    <row r="19">
      <c r="B19" s="1" t="s">
        <v>22</v>
      </c>
      <c r="C19" s="1">
        <v>58.64</v>
      </c>
    </row>
    <row r="20">
      <c r="B20" s="1" t="s">
        <v>23</v>
      </c>
      <c r="C20" s="1">
        <v>55.58</v>
      </c>
    </row>
    <row r="21">
      <c r="B21" s="1" t="s">
        <v>24</v>
      </c>
      <c r="C21" s="1">
        <v>3.91</v>
      </c>
    </row>
    <row r="22">
      <c r="B22" s="1" t="s">
        <v>25</v>
      </c>
      <c r="C22" s="1">
        <v>20.42</v>
      </c>
    </row>
    <row r="23">
      <c r="B23" s="1" t="s">
        <v>25</v>
      </c>
      <c r="C23" s="1">
        <v>9.16</v>
      </c>
    </row>
    <row r="24">
      <c r="B24" s="1" t="s">
        <v>26</v>
      </c>
      <c r="C24" s="1">
        <v>34.0</v>
      </c>
    </row>
    <row r="25">
      <c r="B25" s="1" t="s">
        <v>27</v>
      </c>
      <c r="C25" s="1">
        <v>90.0</v>
      </c>
    </row>
    <row r="26">
      <c r="B26" s="1" t="s">
        <v>23</v>
      </c>
      <c r="C26" s="1">
        <v>32.68</v>
      </c>
    </row>
    <row r="27">
      <c r="B27" s="1" t="s">
        <v>28</v>
      </c>
      <c r="C27" s="1">
        <v>33.03</v>
      </c>
    </row>
    <row r="28">
      <c r="B28" s="1" t="s">
        <v>27</v>
      </c>
      <c r="C28" s="1">
        <v>58.58</v>
      </c>
    </row>
    <row r="29">
      <c r="B29" s="1" t="s">
        <v>25</v>
      </c>
      <c r="C29" s="1">
        <v>5.09</v>
      </c>
    </row>
    <row r="30">
      <c r="B30" s="1" t="s">
        <v>25</v>
      </c>
      <c r="C30" s="1">
        <v>18.57</v>
      </c>
    </row>
    <row r="31">
      <c r="B31" s="1" t="s">
        <v>29</v>
      </c>
      <c r="C31" s="1">
        <v>13.56</v>
      </c>
    </row>
    <row r="32">
      <c r="B32" s="1" t="s">
        <v>30</v>
      </c>
      <c r="C32" s="1">
        <v>32.46</v>
      </c>
    </row>
    <row r="33">
      <c r="B33" s="1" t="s">
        <v>31</v>
      </c>
      <c r="C33" s="1">
        <v>67.47</v>
      </c>
    </row>
    <row r="34">
      <c r="B34" s="1" t="s">
        <v>32</v>
      </c>
      <c r="C34" s="1">
        <v>220.0</v>
      </c>
    </row>
    <row r="35">
      <c r="B35" s="1" t="s">
        <v>33</v>
      </c>
      <c r="C35" s="1">
        <v>36.16</v>
      </c>
    </row>
    <row r="36">
      <c r="B36" s="1" t="s">
        <v>23</v>
      </c>
      <c r="C36" s="1">
        <v>33.07</v>
      </c>
    </row>
    <row r="37">
      <c r="B37" s="1" t="s">
        <v>23</v>
      </c>
      <c r="C37" s="1">
        <v>33.21</v>
      </c>
    </row>
    <row r="38">
      <c r="B38" s="1" t="s">
        <v>23</v>
      </c>
      <c r="C38" s="1">
        <v>20.94</v>
      </c>
    </row>
    <row r="39">
      <c r="B39" s="1" t="s">
        <v>23</v>
      </c>
      <c r="C39" s="1">
        <v>43.05</v>
      </c>
    </row>
    <row r="40">
      <c r="B40" s="1" t="s">
        <v>34</v>
      </c>
      <c r="C40" s="1">
        <v>36.16</v>
      </c>
    </row>
    <row r="41">
      <c r="B41" s="1" t="s">
        <v>35</v>
      </c>
      <c r="C41" s="1">
        <v>22.6</v>
      </c>
    </row>
    <row r="42">
      <c r="B42" s="1" t="s">
        <v>36</v>
      </c>
      <c r="C42" s="1">
        <v>3.92</v>
      </c>
    </row>
    <row r="43">
      <c r="B43" s="1" t="s">
        <v>23</v>
      </c>
      <c r="C43" s="1">
        <v>19.62</v>
      </c>
    </row>
    <row r="44">
      <c r="B44" s="1" t="s">
        <v>37</v>
      </c>
      <c r="C44" s="1">
        <v>30.0</v>
      </c>
    </row>
    <row r="45">
      <c r="B45" s="1" t="s">
        <v>38</v>
      </c>
      <c r="C45" s="1">
        <v>370.2</v>
      </c>
    </row>
    <row r="46">
      <c r="B46" s="1" t="s">
        <v>39</v>
      </c>
      <c r="C46" s="1">
        <v>91.53</v>
      </c>
    </row>
    <row r="47">
      <c r="B47" s="1" t="s">
        <v>23</v>
      </c>
      <c r="C47" s="1">
        <v>12.0</v>
      </c>
    </row>
    <row r="48">
      <c r="B48" s="1" t="s">
        <v>23</v>
      </c>
      <c r="C48" s="1">
        <v>36.86</v>
      </c>
    </row>
    <row r="49">
      <c r="B49" s="1" t="s">
        <v>40</v>
      </c>
      <c r="C49" s="1">
        <v>33.27</v>
      </c>
    </row>
    <row r="50">
      <c r="B50" s="1" t="s">
        <v>41</v>
      </c>
      <c r="C50" s="1">
        <v>135.6</v>
      </c>
    </row>
    <row r="51">
      <c r="B51" s="1" t="s">
        <v>23</v>
      </c>
      <c r="C51" s="1">
        <v>39.08</v>
      </c>
    </row>
    <row r="52">
      <c r="B52" s="1" t="s">
        <v>23</v>
      </c>
      <c r="C52" s="1">
        <v>10.7</v>
      </c>
    </row>
    <row r="53">
      <c r="B53" s="1" t="s">
        <v>23</v>
      </c>
      <c r="C53" s="1">
        <v>19.04</v>
      </c>
    </row>
    <row r="54">
      <c r="B54" s="1" t="s">
        <v>22</v>
      </c>
      <c r="C54" s="1">
        <v>35.22</v>
      </c>
    </row>
    <row r="55">
      <c r="B55" s="1" t="s">
        <v>42</v>
      </c>
      <c r="C55" s="1">
        <v>0.92</v>
      </c>
    </row>
    <row r="56">
      <c r="B56" s="1" t="s">
        <v>43</v>
      </c>
      <c r="C56" s="1">
        <v>29.51</v>
      </c>
    </row>
    <row r="57">
      <c r="B57" s="1" t="s">
        <v>44</v>
      </c>
      <c r="C57" s="1">
        <v>541.91</v>
      </c>
    </row>
    <row r="58">
      <c r="B58" s="1" t="s">
        <v>45</v>
      </c>
      <c r="C58" s="1">
        <v>100.0</v>
      </c>
    </row>
  </sheetData>
  <drawing r:id="rId1"/>
</worksheet>
</file>