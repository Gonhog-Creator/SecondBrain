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<sst xmlns="http://schemas.openxmlformats.org/spreadsheetml/2006/main" count="115" uniqueCount="94">
  <si>
    <t>Australia</t>
  </si>
  <si>
    <t>Total US</t>
  </si>
  <si>
    <t>Total</t>
  </si>
  <si>
    <t>Aussie Dollars</t>
  </si>
  <si>
    <t>US Dollar</t>
  </si>
  <si>
    <t>EU/Pounds</t>
  </si>
  <si>
    <t>Swiss Frank</t>
  </si>
  <si>
    <t>Lens</t>
  </si>
  <si>
    <t>Cash</t>
  </si>
  <si>
    <t>Plane ticket</t>
  </si>
  <si>
    <t>Venmo</t>
  </si>
  <si>
    <t xml:space="preserve">Subway </t>
  </si>
  <si>
    <t>Momo Station</t>
  </si>
  <si>
    <t xml:space="preserve">Patch </t>
  </si>
  <si>
    <t>Churros</t>
  </si>
  <si>
    <t>MEL--&gt;ADE flight</t>
  </si>
  <si>
    <t>Whimmit Pass</t>
  </si>
  <si>
    <t>CooberPedyHos</t>
  </si>
  <si>
    <t>Pin</t>
  </si>
  <si>
    <t>Market</t>
  </si>
  <si>
    <t xml:space="preserve">Chinese Food </t>
  </si>
  <si>
    <t>patch</t>
  </si>
  <si>
    <t>Opal Cutting</t>
  </si>
  <si>
    <t>100 (US), cash, opal</t>
  </si>
  <si>
    <t>Angela</t>
  </si>
  <si>
    <t>20 (US), cash, necklace, -20 *payback for bad room</t>
  </si>
  <si>
    <t>YHA Alice</t>
  </si>
  <si>
    <t>Groceries</t>
  </si>
  <si>
    <t>Desert Park</t>
  </si>
  <si>
    <t>ALS to SYD</t>
  </si>
  <si>
    <t>dont know if thats US of AU</t>
  </si>
  <si>
    <t>Sydney YHA ini</t>
  </si>
  <si>
    <t>Sydney YHA</t>
  </si>
  <si>
    <t>Taxi</t>
  </si>
  <si>
    <t>Royal Bakery</t>
  </si>
  <si>
    <t>Food</t>
  </si>
  <si>
    <t>Byron Bay YHA</t>
  </si>
  <si>
    <t>uber</t>
  </si>
  <si>
    <t>Locker</t>
  </si>
  <si>
    <t>Brisbane Hostel</t>
  </si>
  <si>
    <t>Whitsundays trip</t>
  </si>
  <si>
    <t>Fraser Trip</t>
  </si>
  <si>
    <t>Bus to Brisbane</t>
  </si>
  <si>
    <t>Food Brisbane</t>
  </si>
  <si>
    <t>Laundry</t>
  </si>
  <si>
    <t>Sushi</t>
  </si>
  <si>
    <t>Train</t>
  </si>
  <si>
    <t>Cairns Yha</t>
  </si>
  <si>
    <t>Tent</t>
  </si>
  <si>
    <t>Yha Cairns ext</t>
  </si>
  <si>
    <t>Scuba Diving</t>
  </si>
  <si>
    <t xml:space="preserve">Flashlight </t>
  </si>
  <si>
    <t>Necklace</t>
  </si>
  <si>
    <t>Airlie Beach Hostel</t>
  </si>
  <si>
    <t>Food and Stuff</t>
  </si>
  <si>
    <t>Rainbow Beach Hostel</t>
  </si>
  <si>
    <t>Rainbow Beack Food</t>
  </si>
  <si>
    <t>Uber</t>
  </si>
  <si>
    <t>Clash of clans</t>
  </si>
  <si>
    <t>Bookkeeping</t>
  </si>
  <si>
    <t>GP</t>
  </si>
  <si>
    <t>RC skin</t>
  </si>
  <si>
    <t>King skin</t>
  </si>
  <si>
    <t>Greece shopping</t>
  </si>
  <si>
    <t>airport snacks</t>
  </si>
  <si>
    <t>Train ticket</t>
  </si>
  <si>
    <t>cern tshirt</t>
  </si>
  <si>
    <t xml:space="preserve">Converter </t>
  </si>
  <si>
    <t>Pizza</t>
  </si>
  <si>
    <t xml:space="preserve">Burger </t>
  </si>
  <si>
    <t xml:space="preserve"> G Groceries</t>
  </si>
  <si>
    <t>Pins</t>
  </si>
  <si>
    <t>Lift</t>
  </si>
  <si>
    <t>Faulhorn</t>
  </si>
  <si>
    <t xml:space="preserve">Camping </t>
  </si>
  <si>
    <t>lauterbrunnen ticket</t>
  </si>
  <si>
    <t>Patch</t>
  </si>
  <si>
    <t>Scotland</t>
  </si>
  <si>
    <t xml:space="preserve">Hostel </t>
  </si>
  <si>
    <t xml:space="preserve">Bud tickets </t>
  </si>
  <si>
    <t>Bus Dund -&gt; And</t>
  </si>
  <si>
    <t>Bus to glas</t>
  </si>
  <si>
    <t>Bus to Fort Williams</t>
  </si>
  <si>
    <t xml:space="preserve">Water </t>
  </si>
  <si>
    <t>Burgers</t>
  </si>
  <si>
    <t>FISH N CHIPS</t>
  </si>
  <si>
    <t>Edinburg Histel</t>
  </si>
  <si>
    <t>Balla to Glas bus</t>
  </si>
  <si>
    <t>Nano discount</t>
  </si>
  <si>
    <t>BACK HOME</t>
  </si>
  <si>
    <t>Cash left over</t>
  </si>
  <si>
    <t>Gving mom cash</t>
  </si>
  <si>
    <t>coc</t>
  </si>
  <si>
    <t>gold pass, queen/rc/warden pixel skin, 10th anneversairy scenery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</si>
</sst>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H2" s="1" t="s">
        <v>1</v>
      </c>
    </row>
    <row r="3">
      <c r="B3" s="1" t="s">
        <v>2</v>
      </c>
      <c r="C3" s="2">
        <f t="shared" ref="C3:F3" si="1">SUM(C5:C251)</f>
        <v>3537.47</v>
      </c>
      <c r="D3" s="2">
        <f t="shared" si="1"/>
        <v>775.25</v>
      </c>
      <c r="E3" s="2">
        <f t="shared" si="1"/>
        <v>340.1</v>
      </c>
      <c r="F3" s="2">
        <f t="shared" si="1"/>
        <v>341.1</v>
      </c>
      <c r="H3" s="2">
        <f>Sum((0.7*C3)+(D3+E3+F3)*1.05)</f>
        <v>4005.5015</v>
      </c>
    </row>
    <row r="4">
      <c r="C4" s="1" t="s">
        <v>3</v>
      </c>
      <c r="D4" s="1" t="s">
        <v>4</v>
      </c>
      <c r="E4" s="1" t="s">
        <v>5</v>
      </c>
      <c r="F4" s="1" t="s">
        <v>6</v>
      </c>
    </row>
    <row r="5">
      <c r="B5" s="1" t="s">
        <v>7</v>
      </c>
      <c r="D5" s="1">
        <v>260.0</v>
      </c>
    </row>
    <row r="6">
      <c r="B6" s="1" t="s">
        <v>8</v>
      </c>
      <c r="D6" s="1">
        <v>500.0</v>
      </c>
    </row>
    <row r="7">
      <c r="B7" s="1" t="s">
        <v>9</v>
      </c>
      <c r="D7" s="1">
        <v>600.0</v>
      </c>
    </row>
    <row r="8">
      <c r="B8" s="1" t="s">
        <v>10</v>
      </c>
      <c r="D8" s="1">
        <v>-134.0</v>
      </c>
    </row>
    <row r="9">
      <c r="A9" s="3">
        <v>44690.0</v>
      </c>
      <c r="B9" s="1" t="s">
        <v>11</v>
      </c>
      <c r="C9" s="1">
        <v>20.0</v>
      </c>
    </row>
    <row r="10">
      <c r="B10" s="1" t="s">
        <v>12</v>
      </c>
      <c r="C10" s="1">
        <v>14.5</v>
      </c>
    </row>
    <row r="11">
      <c r="B11" s="1" t="s">
        <v>13</v>
      </c>
      <c r="C11" s="1">
        <v>7.0</v>
      </c>
    </row>
    <row r="12">
      <c r="B12" s="1" t="s">
        <v>14</v>
      </c>
      <c r="C12" s="1">
        <v>10.5</v>
      </c>
    </row>
    <row r="13">
      <c r="A13" s="3">
        <v>44691.0</v>
      </c>
      <c r="B13" s="1" t="s">
        <v>15</v>
      </c>
      <c r="D13" s="1">
        <v>78.03</v>
      </c>
    </row>
    <row r="14">
      <c r="B14" s="1" t="s">
        <v>16</v>
      </c>
      <c r="C14" s="1">
        <v>446.46</v>
      </c>
    </row>
    <row r="15">
      <c r="B15" s="1" t="s">
        <v>17</v>
      </c>
      <c r="C15" s="1">
        <v>214.54</v>
      </c>
    </row>
    <row r="16">
      <c r="A16" s="3">
        <v>44692.0</v>
      </c>
      <c r="B16" s="1" t="s">
        <v>18</v>
      </c>
      <c r="C16" s="1">
        <v>9.9</v>
      </c>
    </row>
    <row r="17">
      <c r="B17" s="1" t="s">
        <v>19</v>
      </c>
      <c r="C17" s="1">
        <v>8.62</v>
      </c>
    </row>
    <row r="18">
      <c r="C18" s="1">
        <v>5.0</v>
      </c>
    </row>
    <row r="19">
      <c r="C19" s="1">
        <v>12.0</v>
      </c>
    </row>
    <row r="20">
      <c r="C20" s="1">
        <v>13.0</v>
      </c>
    </row>
    <row r="21">
      <c r="B21" s="1" t="s">
        <v>20</v>
      </c>
      <c r="C21" s="1">
        <v>27.18</v>
      </c>
    </row>
    <row r="22">
      <c r="B22" s="1" t="s">
        <v>21</v>
      </c>
      <c r="C22" s="1">
        <v>12.0</v>
      </c>
    </row>
    <row r="23">
      <c r="A23" s="3">
        <v>44695.0</v>
      </c>
      <c r="B23" s="1" t="s">
        <v>22</v>
      </c>
      <c r="E23" s="1" t="s">
        <v>23</v>
      </c>
    </row>
    <row r="24">
      <c r="B24" s="1" t="s">
        <v>24</v>
      </c>
      <c r="C24" s="1">
        <v>-20.0</v>
      </c>
      <c r="E24" s="1" t="s">
        <v>25</v>
      </c>
    </row>
    <row r="25">
      <c r="A25" s="3">
        <v>44696.0</v>
      </c>
      <c r="B25" s="1" t="s">
        <v>26</v>
      </c>
      <c r="C25" s="1">
        <v>55.67</v>
      </c>
    </row>
    <row r="26">
      <c r="B26" s="1" t="s">
        <v>27</v>
      </c>
      <c r="C26" s="1">
        <v>16.64</v>
      </c>
    </row>
    <row r="27">
      <c r="A27" s="3">
        <v>44697.0</v>
      </c>
      <c r="B27" s="1" t="s">
        <v>28</v>
      </c>
      <c r="C27" s="1">
        <v>26.0</v>
      </c>
    </row>
    <row r="28">
      <c r="A28" s="3">
        <v>44698.0</v>
      </c>
      <c r="B28" s="1" t="s">
        <v>29</v>
      </c>
      <c r="C28" s="1">
        <v>317.96</v>
      </c>
      <c r="E28" s="1" t="s">
        <v>30</v>
      </c>
    </row>
    <row r="29">
      <c r="A29" s="3">
        <v>44699.0</v>
      </c>
      <c r="B29" s="1" t="s">
        <v>31</v>
      </c>
      <c r="D29" s="1">
        <v>7.22</v>
      </c>
    </row>
    <row r="30">
      <c r="A30" s="3">
        <v>44700.0</v>
      </c>
      <c r="B30" s="1" t="s">
        <v>32</v>
      </c>
      <c r="C30" s="2">
        <f>sum(35+65.4)</f>
        <v>100.4</v>
      </c>
    </row>
    <row r="31">
      <c r="B31" s="1" t="s">
        <v>33</v>
      </c>
      <c r="C31" s="1">
        <v>56.0</v>
      </c>
    </row>
    <row r="32">
      <c r="B32" s="1" t="s">
        <v>34</v>
      </c>
      <c r="C32" s="1">
        <v>13.4</v>
      </c>
    </row>
    <row r="33">
      <c r="A33" s="3">
        <v>44701.0</v>
      </c>
      <c r="B33" s="1" t="s">
        <v>35</v>
      </c>
      <c r="C33" s="2">
        <f>sum(28+16)</f>
        <v>44</v>
      </c>
    </row>
    <row r="34">
      <c r="B34" s="1" t="s">
        <v>36</v>
      </c>
      <c r="C34" s="1">
        <v>32.4</v>
      </c>
    </row>
    <row r="35">
      <c r="B35" s="1" t="s">
        <v>37</v>
      </c>
      <c r="C35" s="1">
        <v>19.0</v>
      </c>
    </row>
    <row r="36">
      <c r="B36" s="1" t="s">
        <v>38</v>
      </c>
      <c r="C36" s="1">
        <v>5.0</v>
      </c>
    </row>
    <row r="37">
      <c r="A37" s="3">
        <v>44703.0</v>
      </c>
      <c r="B37" s="1" t="s">
        <v>35</v>
      </c>
      <c r="C37" s="1">
        <v>20.0</v>
      </c>
    </row>
    <row r="38">
      <c r="A38" s="3">
        <v>44704.0</v>
      </c>
      <c r="B38" s="1" t="s">
        <v>36</v>
      </c>
      <c r="C38" s="1">
        <v>29.3</v>
      </c>
    </row>
    <row r="39">
      <c r="A39" s="3">
        <v>44705.0</v>
      </c>
      <c r="B39" s="1" t="s">
        <v>39</v>
      </c>
      <c r="C39" s="1">
        <v>94.0</v>
      </c>
    </row>
    <row r="40">
      <c r="B40" s="1" t="s">
        <v>40</v>
      </c>
      <c r="C40" s="1">
        <v>320.0</v>
      </c>
    </row>
    <row r="41">
      <c r="B41" s="1" t="s">
        <v>41</v>
      </c>
      <c r="C41" s="1">
        <v>499.0</v>
      </c>
    </row>
    <row r="42">
      <c r="B42" s="1" t="s">
        <v>42</v>
      </c>
      <c r="C42" s="1">
        <v>44.0</v>
      </c>
    </row>
    <row r="43">
      <c r="B43" s="1" t="s">
        <v>43</v>
      </c>
      <c r="C43" s="1">
        <f>36+16</f>
        <v>52</v>
      </c>
    </row>
    <row r="44">
      <c r="B44" s="1" t="s">
        <v>27</v>
      </c>
      <c r="C44" s="2">
        <f>Sum(26+4)</f>
        <v>30</v>
      </c>
    </row>
    <row r="45">
      <c r="A45" s="3">
        <v>44708.0</v>
      </c>
      <c r="B45" s="1" t="s">
        <v>44</v>
      </c>
      <c r="C45" s="1">
        <v>10.0</v>
      </c>
    </row>
    <row r="46">
      <c r="B46" s="1" t="s">
        <v>45</v>
      </c>
      <c r="C46" s="1">
        <v>26.0</v>
      </c>
    </row>
    <row r="47">
      <c r="A47" s="3">
        <v>44709.0</v>
      </c>
      <c r="B47" s="1" t="s">
        <v>46</v>
      </c>
      <c r="C47" s="1">
        <v>55.0</v>
      </c>
    </row>
    <row r="48">
      <c r="A48" s="3">
        <v>44710.0</v>
      </c>
      <c r="B48" s="1" t="s">
        <v>47</v>
      </c>
      <c r="C48" s="1">
        <v>52.0</v>
      </c>
    </row>
    <row r="49">
      <c r="B49" s="1" t="s">
        <v>35</v>
      </c>
      <c r="C49" s="1">
        <v>21.0</v>
      </c>
    </row>
    <row r="50">
      <c r="B50" s="1" t="s">
        <v>10</v>
      </c>
      <c r="D50" s="1">
        <v>-130.0</v>
      </c>
    </row>
    <row r="51">
      <c r="A51" s="3">
        <v>44711.0</v>
      </c>
      <c r="B51" s="1" t="s">
        <v>35</v>
      </c>
      <c r="C51" s="1">
        <v>10.0</v>
      </c>
    </row>
    <row r="52">
      <c r="B52" s="1" t="s">
        <v>48</v>
      </c>
      <c r="C52" s="1">
        <v>59.0</v>
      </c>
    </row>
    <row r="53">
      <c r="B53" s="1" t="s">
        <v>49</v>
      </c>
      <c r="C53" s="1">
        <v>45.0</v>
      </c>
    </row>
    <row r="54">
      <c r="B54" s="1" t="s">
        <v>50</v>
      </c>
      <c r="C54" s="1">
        <v>340.0</v>
      </c>
    </row>
    <row r="55">
      <c r="B55" s="1" t="s">
        <v>51</v>
      </c>
      <c r="C55" s="1">
        <v>40.0</v>
      </c>
    </row>
    <row r="56">
      <c r="A56" s="3">
        <v>44712.0</v>
      </c>
      <c r="B56" s="1" t="s">
        <v>27</v>
      </c>
      <c r="C56" s="1">
        <v>20.0</v>
      </c>
    </row>
    <row r="57">
      <c r="A57" s="3">
        <v>44713.0</v>
      </c>
      <c r="B57" s="1" t="s">
        <v>27</v>
      </c>
      <c r="C57" s="1">
        <v>20.0</v>
      </c>
    </row>
    <row r="58">
      <c r="B58" s="1" t="s">
        <v>52</v>
      </c>
      <c r="C58" s="1">
        <v>13.0</v>
      </c>
    </row>
    <row r="59">
      <c r="B59" s="1" t="s">
        <v>49</v>
      </c>
      <c r="C59" s="1">
        <v>36.0</v>
      </c>
    </row>
    <row r="60">
      <c r="A60" s="3">
        <v>44715.0</v>
      </c>
      <c r="B60" s="1" t="s">
        <v>53</v>
      </c>
      <c r="C60" s="1">
        <v>30.0</v>
      </c>
    </row>
    <row r="61">
      <c r="B61" s="1" t="s">
        <v>54</v>
      </c>
      <c r="C61" s="1">
        <v>49.0</v>
      </c>
    </row>
    <row r="62">
      <c r="A62" s="3">
        <v>44718.0</v>
      </c>
      <c r="B62" s="1" t="s">
        <v>55</v>
      </c>
      <c r="C62" s="1">
        <v>50.0</v>
      </c>
    </row>
    <row r="63">
      <c r="A63" s="3">
        <v>44719.0</v>
      </c>
      <c r="B63" s="1" t="s">
        <v>56</v>
      </c>
      <c r="C63" s="1">
        <v>66.0</v>
      </c>
    </row>
    <row r="64">
      <c r="A64" s="3">
        <v>44723.0</v>
      </c>
      <c r="B64" s="1" t="s">
        <v>57</v>
      </c>
      <c r="C64" s="1">
        <v>40.0</v>
      </c>
    </row>
    <row r="65">
      <c r="A65" s="3">
        <v>44723.0</v>
      </c>
      <c r="B65" s="1">
        <v>25.0</v>
      </c>
    </row>
    <row r="66">
      <c r="A66" s="3">
        <v>44746.0</v>
      </c>
      <c r="B66" s="1" t="s">
        <v>58</v>
      </c>
      <c r="D66" s="1">
        <v>5.0</v>
      </c>
      <c r="E66" s="1" t="s">
        <v>59</v>
      </c>
    </row>
    <row r="67">
      <c r="B67" s="1" t="s">
        <v>60</v>
      </c>
      <c r="D67" s="1">
        <v>5.0</v>
      </c>
    </row>
    <row r="68">
      <c r="B68" s="1" t="s">
        <v>61</v>
      </c>
      <c r="D68" s="1">
        <v>7.0</v>
      </c>
    </row>
    <row r="69">
      <c r="B69" s="1" t="s">
        <v>62</v>
      </c>
      <c r="D69" s="1">
        <v>10.0</v>
      </c>
    </row>
    <row r="70">
      <c r="B70" s="1" t="s">
        <v>63</v>
      </c>
      <c r="E70" s="1">
        <v>85.0</v>
      </c>
    </row>
    <row r="71">
      <c r="E71" s="1">
        <v>10.0</v>
      </c>
    </row>
    <row r="72">
      <c r="E72" s="1">
        <v>7.0</v>
      </c>
    </row>
    <row r="73">
      <c r="B73" s="1" t="s">
        <v>64</v>
      </c>
      <c r="E73" s="1">
        <v>10.0</v>
      </c>
    </row>
    <row r="74">
      <c r="E74" s="1">
        <v>10.0</v>
      </c>
    </row>
    <row r="75">
      <c r="A75" s="3">
        <v>44757.0</v>
      </c>
      <c r="E75" s="1" t="s">
        <v>65</v>
      </c>
      <c r="F75" s="1">
        <v>9.0</v>
      </c>
    </row>
    <row r="76">
      <c r="E76" s="1" t="s">
        <v>66</v>
      </c>
      <c r="F76" s="1">
        <v>20.0</v>
      </c>
    </row>
    <row r="77">
      <c r="E77" s="1" t="s">
        <v>67</v>
      </c>
      <c r="F77" s="1">
        <v>14.3</v>
      </c>
    </row>
    <row r="78">
      <c r="A78" s="3">
        <v>44758.0</v>
      </c>
      <c r="E78" s="1" t="s">
        <v>46</v>
      </c>
      <c r="F78" s="1">
        <v>36.0</v>
      </c>
    </row>
    <row r="79">
      <c r="E79" s="1" t="s">
        <v>46</v>
      </c>
      <c r="F79" s="1">
        <v>39.0</v>
      </c>
    </row>
    <row r="80">
      <c r="E80" s="1" t="s">
        <v>68</v>
      </c>
      <c r="F80" s="1">
        <v>7.0</v>
      </c>
    </row>
    <row r="81">
      <c r="E81" s="1" t="s">
        <v>69</v>
      </c>
      <c r="F81" s="1">
        <v>15.0</v>
      </c>
    </row>
    <row r="82">
      <c r="E82" s="1" t="s">
        <v>70</v>
      </c>
      <c r="F82" s="1">
        <v>15.6</v>
      </c>
    </row>
    <row r="83">
      <c r="E83" s="1" t="s">
        <v>71</v>
      </c>
      <c r="F83" s="1">
        <v>15.0</v>
      </c>
    </row>
    <row r="84">
      <c r="E84" s="1" t="s">
        <v>72</v>
      </c>
      <c r="F84" s="1">
        <v>24.0</v>
      </c>
    </row>
    <row r="85">
      <c r="E85" s="1" t="s">
        <v>73</v>
      </c>
      <c r="F85" s="1">
        <v>96.0</v>
      </c>
    </row>
    <row r="86">
      <c r="E86" s="1" t="s">
        <v>27</v>
      </c>
      <c r="F86" s="1">
        <v>16.0</v>
      </c>
    </row>
    <row r="87">
      <c r="E87" s="1" t="s">
        <v>74</v>
      </c>
      <c r="F87" s="1">
        <v>25.5</v>
      </c>
    </row>
    <row r="88">
      <c r="E88" s="1" t="s">
        <v>75</v>
      </c>
      <c r="F88" s="1">
        <v>8.7</v>
      </c>
    </row>
    <row r="90">
      <c r="D90" s="1" t="s">
        <v>27</v>
      </c>
      <c r="E90" s="1">
        <v>25.0</v>
      </c>
    </row>
    <row r="91">
      <c r="D91" s="1" t="s">
        <v>71</v>
      </c>
      <c r="E91" s="1">
        <v>5.0</v>
      </c>
    </row>
    <row r="92">
      <c r="D92" s="1" t="s">
        <v>76</v>
      </c>
      <c r="E92" s="1">
        <v>5.0</v>
      </c>
    </row>
    <row r="93">
      <c r="C93" s="1" t="s">
        <v>77</v>
      </c>
      <c r="D93" s="1" t="s">
        <v>78</v>
      </c>
      <c r="E93" s="1">
        <v>52.0</v>
      </c>
    </row>
    <row r="94">
      <c r="D94" s="1" t="s">
        <v>79</v>
      </c>
      <c r="E94" s="1">
        <v>40.0</v>
      </c>
    </row>
    <row r="95">
      <c r="D95" s="1" t="s">
        <v>80</v>
      </c>
      <c r="E95" s="1">
        <v>11.6</v>
      </c>
    </row>
    <row r="96">
      <c r="D96" s="1" t="s">
        <v>27</v>
      </c>
      <c r="E96" s="1">
        <v>35.0</v>
      </c>
    </row>
    <row r="97">
      <c r="D97" s="1" t="s">
        <v>81</v>
      </c>
      <c r="E97" s="1">
        <v>19.5</v>
      </c>
    </row>
    <row r="98">
      <c r="D98" s="1" t="s">
        <v>82</v>
      </c>
      <c r="E98" s="1">
        <v>59.0</v>
      </c>
    </row>
    <row r="99">
      <c r="D99" s="1" t="s">
        <v>83</v>
      </c>
      <c r="E99" s="1">
        <v>1.0</v>
      </c>
    </row>
    <row r="100">
      <c r="D100" s="1" t="s">
        <v>84</v>
      </c>
      <c r="E100" s="1">
        <v>25.0</v>
      </c>
    </row>
    <row r="101">
      <c r="D101" s="1" t="s">
        <v>85</v>
      </c>
      <c r="E101" s="1">
        <v>21.0</v>
      </c>
    </row>
    <row r="102">
      <c r="D102" s="1" t="s">
        <v>86</v>
      </c>
      <c r="E102" s="1">
        <v>81.8</v>
      </c>
    </row>
    <row r="103">
      <c r="D103" s="1" t="s">
        <v>87</v>
      </c>
      <c r="E103" s="1">
        <v>56.2</v>
      </c>
    </row>
    <row r="104">
      <c r="D104" s="1" t="s">
        <v>88</v>
      </c>
      <c r="E104" s="1">
        <v>-219.0</v>
      </c>
    </row>
    <row r="105">
      <c r="A105" s="1" t="s">
        <v>89</v>
      </c>
      <c r="B105" s="1" t="s">
        <v>89</v>
      </c>
      <c r="C105" s="1" t="s">
        <v>89</v>
      </c>
      <c r="D105" s="1" t="s">
        <v>89</v>
      </c>
      <c r="E105" s="1" t="s">
        <v>89</v>
      </c>
      <c r="F105" s="1" t="s">
        <v>89</v>
      </c>
      <c r="G105" s="1" t="s">
        <v>89</v>
      </c>
    </row>
    <row r="107">
      <c r="C107" s="1" t="s">
        <v>90</v>
      </c>
      <c r="D107" s="1">
        <v>-260.0</v>
      </c>
    </row>
    <row r="108">
      <c r="C108" s="1" t="s">
        <v>91</v>
      </c>
      <c r="D108" s="1">
        <v>-200.0</v>
      </c>
    </row>
    <row r="109">
      <c r="C109" s="1" t="s">
        <v>92</v>
      </c>
      <c r="D109" s="1">
        <v>27.0</v>
      </c>
      <c r="E109" s="1" t="s">
        <v>93</v>
      </c>
    </row>
  </sheetData>
  <drawing r:id="rId1"/>
</worksheet>
</file>