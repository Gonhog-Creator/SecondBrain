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<sst xmlns="http://schemas.openxmlformats.org/spreadsheetml/2006/main" count="196" uniqueCount="155">
  <si>
    <t>Total</t>
  </si>
  <si>
    <t>Item</t>
  </si>
  <si>
    <t>Cost</t>
  </si>
  <si>
    <t>Paid Back?</t>
  </si>
  <si>
    <t>From Mom's Card Abroad</t>
  </si>
  <si>
    <t>In Eurotrip?</t>
  </si>
  <si>
    <t>Flight to Paris</t>
  </si>
  <si>
    <t>Yes</t>
  </si>
  <si>
    <t xml:space="preserve">Cash </t>
  </si>
  <si>
    <t>burger paris</t>
  </si>
  <si>
    <t>Sigma Lens</t>
  </si>
  <si>
    <t>arg money</t>
  </si>
  <si>
    <t>hifrance</t>
  </si>
  <si>
    <t>Europass</t>
  </si>
  <si>
    <t>credited to mom</t>
  </si>
  <si>
    <t>public drugstore</t>
  </si>
  <si>
    <t>Drone</t>
  </si>
  <si>
    <t>No</t>
  </si>
  <si>
    <t>anvers souvenier</t>
  </si>
  <si>
    <t>Camera</t>
  </si>
  <si>
    <t>centre des monuments</t>
  </si>
  <si>
    <t>Total Europe</t>
  </si>
  <si>
    <t>Camp Payback</t>
  </si>
  <si>
    <t>Versailles</t>
  </si>
  <si>
    <t>Total Argentina</t>
  </si>
  <si>
    <t>Franprix</t>
  </si>
  <si>
    <t>Booker Cash</t>
  </si>
  <si>
    <t>ratp paris IDF</t>
  </si>
  <si>
    <t xml:space="preserve">Scandanavia </t>
  </si>
  <si>
    <t>To Pay Nano</t>
  </si>
  <si>
    <t>To Pay Mom</t>
  </si>
  <si>
    <t>Paid Back!!</t>
  </si>
  <si>
    <t>no</t>
  </si>
  <si>
    <t xml:space="preserve">Plus 65 dollars each to mom </t>
  </si>
  <si>
    <t>Versialles vpoyagers</t>
  </si>
  <si>
    <t>brugge burgers</t>
  </si>
  <si>
    <t>franprix paris</t>
  </si>
  <si>
    <t>ouigo paris</t>
  </si>
  <si>
    <t>leitho pick - food</t>
  </si>
  <si>
    <t>brugge museum</t>
  </si>
  <si>
    <t>belgium winkel</t>
  </si>
  <si>
    <t>comarkt brugge</t>
  </si>
  <si>
    <t>hostel bruge</t>
  </si>
  <si>
    <t>hostel ghent</t>
  </si>
  <si>
    <t>ghent st pieters</t>
  </si>
  <si>
    <t>gravensteen</t>
  </si>
  <si>
    <t>hanswurst</t>
  </si>
  <si>
    <t>mcdonalds</t>
  </si>
  <si>
    <t>einhard</t>
  </si>
  <si>
    <t>cvan gilse</t>
  </si>
  <si>
    <t>locochicken</t>
  </si>
  <si>
    <t>domklosetr</t>
  </si>
  <si>
    <t>hohe domkirche</t>
  </si>
  <si>
    <t>asia thai</t>
  </si>
  <si>
    <t>backerei</t>
  </si>
  <si>
    <t>a and 0 hostel</t>
  </si>
  <si>
    <t>edeka weeke</t>
  </si>
  <si>
    <t>a and o hostel</t>
  </si>
  <si>
    <t>c and a house</t>
  </si>
  <si>
    <t>chcolate museum</t>
  </si>
  <si>
    <t>verkerhause</t>
  </si>
  <si>
    <t>chocolate museum</t>
  </si>
  <si>
    <t xml:space="preserve">edeka weeke </t>
  </si>
  <si>
    <t>photolambertin</t>
  </si>
  <si>
    <t>backwek</t>
  </si>
  <si>
    <t>kioske inside</t>
  </si>
  <si>
    <t>thaalia bookstore</t>
  </si>
  <si>
    <t>les brassiers strasborg</t>
  </si>
  <si>
    <t>kerhause</t>
  </si>
  <si>
    <t>ville de strasbourge</t>
  </si>
  <si>
    <t>carrefour</t>
  </si>
  <si>
    <t>mcdonalds strasbourg</t>
  </si>
  <si>
    <t>le frangin</t>
  </si>
  <si>
    <t>yes</t>
  </si>
  <si>
    <t>stuttgart</t>
  </si>
  <si>
    <t>fliz rebecer</t>
  </si>
  <si>
    <t>kinoheld</t>
  </si>
  <si>
    <t>sarl s franche</t>
  </si>
  <si>
    <t>valiwash</t>
  </si>
  <si>
    <t>muesum muchen</t>
  </si>
  <si>
    <t>stuttgart hbf</t>
  </si>
  <si>
    <t>shandong</t>
  </si>
  <si>
    <t>schloss</t>
  </si>
  <si>
    <t>sinz</t>
  </si>
  <si>
    <t xml:space="preserve">hotel muller </t>
  </si>
  <si>
    <t>rewe muchen</t>
  </si>
  <si>
    <t>sweet spot coffee</t>
  </si>
  <si>
    <t>munchen</t>
  </si>
  <si>
    <t>buchanlung florh muchen</t>
  </si>
  <si>
    <t>sumup casa dolce</t>
  </si>
  <si>
    <t>hostel world</t>
  </si>
  <si>
    <t>slurp noodlebar</t>
  </si>
  <si>
    <t>coffee fellows</t>
  </si>
  <si>
    <t>malescha press</t>
  </si>
  <si>
    <t>hohrreiter biergarten</t>
  </si>
  <si>
    <t>reichart cafe</t>
  </si>
  <si>
    <t>festgshop</t>
  </si>
  <si>
    <t>aalpin present</t>
  </si>
  <si>
    <t>aplin present</t>
  </si>
  <si>
    <t>billa dankt</t>
  </si>
  <si>
    <t>biilla dankt</t>
  </si>
  <si>
    <t>salwelten hallein</t>
  </si>
  <si>
    <t>anker hbf</t>
  </si>
  <si>
    <t xml:space="preserve">wewash </t>
  </si>
  <si>
    <t>j and d coffee</t>
  </si>
  <si>
    <t>dm-fil salburg</t>
  </si>
  <si>
    <t>eisenwelt salsburg</t>
  </si>
  <si>
    <t>sofra cafe</t>
  </si>
  <si>
    <t>spar fil salburg</t>
  </si>
  <si>
    <t>cafe gloriette</t>
  </si>
  <si>
    <t>weiner linen</t>
  </si>
  <si>
    <t>chilli and cheesy wien</t>
  </si>
  <si>
    <t>schloss shoenbrunn</t>
  </si>
  <si>
    <t>schinetl fan wein</t>
  </si>
  <si>
    <t>spar fil wein</t>
  </si>
  <si>
    <t>fishviertel wein</t>
  </si>
  <si>
    <t>nhm wein</t>
  </si>
  <si>
    <t>textile house vien</t>
  </si>
  <si>
    <t>sukherwinder</t>
  </si>
  <si>
    <t xml:space="preserve">sumup </t>
  </si>
  <si>
    <t>tiergarten shcoenbrnn</t>
  </si>
  <si>
    <t>lw lin wang</t>
  </si>
  <si>
    <t>winer linine</t>
  </si>
  <si>
    <t>ferhat</t>
  </si>
  <si>
    <t>mps gastro</t>
  </si>
  <si>
    <t>sumup fun</t>
  </si>
  <si>
    <t>ankerbot</t>
  </si>
  <si>
    <t xml:space="preserve">spar bled </t>
  </si>
  <si>
    <t>besterie mmass kavarna</t>
  </si>
  <si>
    <t>colnarna vila bled</t>
  </si>
  <si>
    <t>zakaladi</t>
  </si>
  <si>
    <t>trogenia mak</t>
  </si>
  <si>
    <t>blejeski</t>
  </si>
  <si>
    <t>megaburger</t>
  </si>
  <si>
    <t>sumup unikanto</t>
  </si>
  <si>
    <t>sumup marpol lbjuinana</t>
  </si>
  <si>
    <t>spada nilvanje</t>
  </si>
  <si>
    <t>backverk mannhiem</t>
  </si>
  <si>
    <t>voyaguers sncf</t>
  </si>
  <si>
    <t>chez qian paris</t>
  </si>
  <si>
    <t>luis corner paris</t>
  </si>
  <si>
    <t>service navigo</t>
  </si>
  <si>
    <t>zettle paris</t>
  </si>
  <si>
    <t xml:space="preserve">a la merde faamille </t>
  </si>
  <si>
    <t>gribado paris</t>
  </si>
  <si>
    <t>ancien res charte</t>
  </si>
  <si>
    <t>relais express</t>
  </si>
  <si>
    <t xml:space="preserve">centre momnuets </t>
  </si>
  <si>
    <t>nila aliento paris</t>
  </si>
  <si>
    <t>navigo</t>
  </si>
  <si>
    <t>bekery paris</t>
  </si>
  <si>
    <t>air france</t>
  </si>
  <si>
    <t>total minus camera</t>
  </si>
  <si>
    <t>On Eurosheet</t>
  </si>
  <si>
    <t>Paid for me myself and 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</si>
</sst>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4" xfId="0" applyFont="1" applyNumberFormat="1"/>
    <xf borderId="0" fillId="0" fontId="1" numFmtId="0" xfId="0" applyFont="1"/>
    <xf borderId="0" fillId="0" fontId="1" numFmtId="2" xfId="0" applyFont="1" applyNumberFormat="1"/>
    <xf borderId="0" fillId="0" fontId="1" numFmtId="1" xfId="0" applyFont="1" applyNumberFormat="1"/>
    <xf borderId="1" fillId="0" fontId="1" numFmtId="0" xfId="0" applyAlignment="1" applyBorder="1" applyFont="1">
      <alignment readingOrder="0"/>
    </xf>
    <xf borderId="2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7" max="7" width="12.0"/>
    <col customWidth="1" min="8" max="8" width="20.13"/>
  </cols>
  <sheetData>
    <row r="1" ht="15.75" customHeight="1"/>
    <row r="2" ht="15.75" customHeight="1">
      <c r="B2" s="1" t="s">
        <v>0</v>
      </c>
      <c r="C2" s="2">
        <f>SUMIF(D4:D1000, "No", C4:C1000)</f>
        <v>-0.51</v>
      </c>
    </row>
    <row r="3" ht="15.75" customHeight="1">
      <c r="B3" s="2" t="s">
        <v>1</v>
      </c>
      <c r="C3" s="2" t="s">
        <v>2</v>
      </c>
      <c r="D3" s="2" t="s">
        <v>3</v>
      </c>
      <c r="G3" s="2"/>
      <c r="H3" s="2" t="s">
        <v>4</v>
      </c>
      <c r="J3" s="1" t="s">
        <v>5</v>
      </c>
    </row>
    <row r="4" ht="15.75" customHeight="1">
      <c r="B4" s="2" t="s">
        <v>6</v>
      </c>
      <c r="C4" s="2">
        <v>640.0</v>
      </c>
      <c r="D4" s="2" t="s">
        <v>7</v>
      </c>
      <c r="E4" s="1" t="s">
        <v>8</v>
      </c>
      <c r="G4" s="1"/>
      <c r="H4" s="1" t="s">
        <v>9</v>
      </c>
      <c r="I4" s="1">
        <v>19.12</v>
      </c>
      <c r="J4" s="1" t="s">
        <v>7</v>
      </c>
    </row>
    <row r="5" ht="15.75" customHeight="1">
      <c r="B5" s="2" t="s">
        <v>10</v>
      </c>
      <c r="C5" s="2">
        <v>910.0</v>
      </c>
      <c r="D5" s="3" t="s">
        <v>7</v>
      </c>
      <c r="E5" s="1">
        <v>230.0</v>
      </c>
      <c r="F5" s="1" t="s">
        <v>11</v>
      </c>
      <c r="G5" s="1"/>
      <c r="H5" s="1" t="s">
        <v>12</v>
      </c>
      <c r="I5" s="1">
        <v>300.35</v>
      </c>
      <c r="J5" s="1" t="s">
        <v>7</v>
      </c>
    </row>
    <row r="6" ht="15.75" customHeight="1">
      <c r="B6" s="2" t="s">
        <v>13</v>
      </c>
      <c r="C6" s="2">
        <v>569.0</v>
      </c>
      <c r="D6" s="2" t="s">
        <v>7</v>
      </c>
      <c r="E6" s="1">
        <v>500.0</v>
      </c>
      <c r="F6" s="1" t="s">
        <v>14</v>
      </c>
      <c r="G6" s="1"/>
      <c r="H6" s="1" t="s">
        <v>15</v>
      </c>
      <c r="I6" s="1">
        <v>9.11</v>
      </c>
    </row>
    <row r="7" ht="15.75" customHeight="1">
      <c r="B7" s="2" t="s">
        <v>16</v>
      </c>
      <c r="C7" s="4">
        <v>1175.93</v>
      </c>
      <c r="D7" s="2" t="s">
        <v>17</v>
      </c>
      <c r="G7" s="1"/>
      <c r="H7" s="1" t="s">
        <v>18</v>
      </c>
      <c r="I7" s="1">
        <v>3.41</v>
      </c>
    </row>
    <row r="8" ht="15.75" customHeight="1">
      <c r="B8" s="1" t="s">
        <v>19</v>
      </c>
      <c r="C8" s="4">
        <f>I48</f>
        <v>727.55</v>
      </c>
      <c r="D8" s="1" t="s">
        <v>17</v>
      </c>
      <c r="G8" s="1"/>
      <c r="H8" s="1" t="s">
        <v>20</v>
      </c>
      <c r="I8" s="1">
        <v>18.21</v>
      </c>
    </row>
    <row r="9" ht="15.75" customHeight="1">
      <c r="B9" s="1" t="s">
        <v>21</v>
      </c>
      <c r="C9" s="5">
        <f>I149</f>
        <v>3075.43</v>
      </c>
      <c r="D9" s="1" t="s">
        <v>17</v>
      </c>
      <c r="G9" s="1"/>
      <c r="H9" s="1" t="s">
        <v>20</v>
      </c>
      <c r="I9" s="1">
        <v>5.69</v>
      </c>
    </row>
    <row r="10" ht="15.75" customHeight="1">
      <c r="B10" s="1" t="s">
        <v>22</v>
      </c>
      <c r="C10" s="1">
        <v>-1000.0</v>
      </c>
      <c r="D10" s="1" t="s">
        <v>17</v>
      </c>
      <c r="G10" s="2"/>
      <c r="H10" s="2" t="s">
        <v>23</v>
      </c>
      <c r="I10" s="1">
        <v>5.68</v>
      </c>
    </row>
    <row r="11" ht="15.75" customHeight="1">
      <c r="B11" s="1" t="s">
        <v>24</v>
      </c>
      <c r="C11" s="1">
        <f>F14+65</f>
        <v>921</v>
      </c>
      <c r="D11" s="1" t="s">
        <v>7</v>
      </c>
      <c r="G11" s="2"/>
      <c r="H11" s="2" t="s">
        <v>25</v>
      </c>
      <c r="I11" s="1">
        <v>19.78</v>
      </c>
      <c r="J11" s="1" t="s">
        <v>7</v>
      </c>
    </row>
    <row r="12" ht="15.75" customHeight="1">
      <c r="B12" s="1" t="s">
        <v>26</v>
      </c>
      <c r="C12" s="1">
        <v>-500.0</v>
      </c>
      <c r="D12" s="1" t="s">
        <v>17</v>
      </c>
      <c r="E12" s="1" t="s">
        <v>24</v>
      </c>
      <c r="G12" s="2"/>
      <c r="H12" s="2" t="s">
        <v>27</v>
      </c>
      <c r="I12" s="1">
        <v>2.84</v>
      </c>
    </row>
    <row r="13" ht="15.75" customHeight="1">
      <c r="B13" s="1" t="s">
        <v>28</v>
      </c>
      <c r="C13" s="1">
        <v>2060.58</v>
      </c>
      <c r="D13" s="1" t="s">
        <v>17</v>
      </c>
      <c r="E13" s="1" t="s">
        <v>29</v>
      </c>
      <c r="F13" s="3" t="s">
        <v>30</v>
      </c>
      <c r="H13" s="2" t="s">
        <v>27</v>
      </c>
      <c r="I13" s="1">
        <v>2.84</v>
      </c>
    </row>
    <row r="14" ht="15.75" customHeight="1">
      <c r="B14" s="1" t="s">
        <v>31</v>
      </c>
      <c r="C14" s="1">
        <v>-5540.0</v>
      </c>
      <c r="D14" s="1" t="s">
        <v>32</v>
      </c>
      <c r="E14" s="5">
        <f>(1200/2)-428-150</f>
        <v>22</v>
      </c>
      <c r="F14" s="2">
        <f>856</f>
        <v>856</v>
      </c>
      <c r="H14" s="2" t="s">
        <v>27</v>
      </c>
      <c r="I14" s="1">
        <v>2.84</v>
      </c>
    </row>
    <row r="15" ht="15.75" customHeight="1">
      <c r="E15" s="1" t="s">
        <v>33</v>
      </c>
      <c r="G15" s="2"/>
      <c r="H15" s="2" t="s">
        <v>27</v>
      </c>
      <c r="I15" s="1">
        <v>2.27</v>
      </c>
    </row>
    <row r="16" ht="15.75" customHeight="1">
      <c r="G16" s="2"/>
      <c r="H16" s="2" t="s">
        <v>34</v>
      </c>
      <c r="I16" s="1">
        <v>5.11</v>
      </c>
    </row>
    <row r="17" ht="15.75" customHeight="1">
      <c r="G17" s="2"/>
      <c r="H17" s="2" t="s">
        <v>35</v>
      </c>
      <c r="I17" s="1">
        <v>17.74</v>
      </c>
    </row>
    <row r="18" ht="15.75" customHeight="1">
      <c r="G18" s="2"/>
      <c r="H18" s="2" t="s">
        <v>36</v>
      </c>
      <c r="I18" s="1">
        <v>21.29</v>
      </c>
    </row>
    <row r="19" ht="15.75" customHeight="1">
      <c r="G19" s="2"/>
      <c r="H19" s="2" t="s">
        <v>37</v>
      </c>
      <c r="I19" s="1">
        <v>153.51</v>
      </c>
      <c r="J19" s="1" t="s">
        <v>7</v>
      </c>
    </row>
    <row r="20" ht="15.75" customHeight="1">
      <c r="G20" s="2"/>
      <c r="H20" s="2" t="s">
        <v>38</v>
      </c>
      <c r="I20" s="1">
        <v>11.95</v>
      </c>
    </row>
    <row r="21" ht="15.75" customHeight="1">
      <c r="G21" s="2"/>
      <c r="H21" s="2" t="s">
        <v>39</v>
      </c>
      <c r="I21" s="1">
        <v>7.97</v>
      </c>
    </row>
    <row r="22" ht="15.75" customHeight="1">
      <c r="G22" s="2"/>
      <c r="H22" s="2" t="s">
        <v>40</v>
      </c>
      <c r="I22" s="1">
        <v>13.43</v>
      </c>
    </row>
    <row r="23" ht="15.75" customHeight="1">
      <c r="G23" s="2"/>
      <c r="H23" s="2" t="s">
        <v>41</v>
      </c>
      <c r="I23" s="1">
        <v>2.62</v>
      </c>
    </row>
    <row r="24" ht="15.75" customHeight="1">
      <c r="G24" s="2"/>
      <c r="H24" s="2" t="s">
        <v>42</v>
      </c>
      <c r="I24" s="1">
        <v>20.57</v>
      </c>
    </row>
    <row r="25" ht="15.75" customHeight="1">
      <c r="G25" s="2"/>
      <c r="H25" s="2" t="s">
        <v>43</v>
      </c>
      <c r="I25" s="1">
        <v>1.71</v>
      </c>
    </row>
    <row r="26" ht="15.75" customHeight="1">
      <c r="G26" s="2"/>
      <c r="H26" s="2" t="s">
        <v>43</v>
      </c>
      <c r="I26" s="1">
        <v>0.57</v>
      </c>
    </row>
    <row r="27" ht="15.75" customHeight="1">
      <c r="G27" s="2"/>
      <c r="H27" s="2" t="s">
        <v>44</v>
      </c>
      <c r="I27" s="1">
        <v>3.41</v>
      </c>
    </row>
    <row r="28" ht="15.75" customHeight="1">
      <c r="G28" s="2"/>
      <c r="H28" s="2" t="s">
        <v>45</v>
      </c>
      <c r="I28" s="1">
        <v>9.09</v>
      </c>
    </row>
    <row r="29" ht="15.75" customHeight="1">
      <c r="G29" s="2"/>
      <c r="H29" s="2" t="s">
        <v>45</v>
      </c>
      <c r="I29" s="1">
        <v>17.05</v>
      </c>
    </row>
    <row r="30" ht="15.75" customHeight="1">
      <c r="G30" s="1"/>
      <c r="H30" s="1" t="s">
        <v>46</v>
      </c>
      <c r="I30" s="1">
        <v>19.88</v>
      </c>
    </row>
    <row r="31" ht="15.75" customHeight="1">
      <c r="G31" s="1"/>
      <c r="H31" s="1" t="s">
        <v>47</v>
      </c>
      <c r="I31" s="1">
        <v>14.22</v>
      </c>
    </row>
    <row r="32" ht="15.75" customHeight="1">
      <c r="G32" s="1"/>
      <c r="H32" s="1" t="s">
        <v>48</v>
      </c>
      <c r="I32" s="1">
        <v>15.7</v>
      </c>
    </row>
    <row r="33" ht="15.75" customHeight="1">
      <c r="G33" s="1"/>
      <c r="H33" s="1" t="s">
        <v>49</v>
      </c>
      <c r="I33" s="1">
        <v>4.52</v>
      </c>
    </row>
    <row r="34" ht="15.75" customHeight="1">
      <c r="G34" s="1"/>
      <c r="H34" s="1" t="s">
        <v>50</v>
      </c>
      <c r="I34" s="1">
        <v>21.91</v>
      </c>
    </row>
    <row r="35" ht="15.75" customHeight="1">
      <c r="G35" s="1"/>
      <c r="H35" s="1" t="s">
        <v>51</v>
      </c>
      <c r="I35" s="1">
        <v>3.33</v>
      </c>
    </row>
    <row r="36" ht="15.75" customHeight="1">
      <c r="G36" s="1"/>
      <c r="H36" s="1" t="s">
        <v>52</v>
      </c>
      <c r="I36" s="1">
        <v>4.52</v>
      </c>
    </row>
    <row r="37" ht="15.75" customHeight="1">
      <c r="G37" s="1"/>
      <c r="H37" s="1" t="s">
        <v>53</v>
      </c>
      <c r="I37" s="1">
        <v>16.94</v>
      </c>
    </row>
    <row r="38" ht="15.75" customHeight="1">
      <c r="G38" s="1"/>
      <c r="H38" s="1" t="s">
        <v>54</v>
      </c>
      <c r="I38" s="1">
        <v>4.73</v>
      </c>
    </row>
    <row r="39" ht="15.75" customHeight="1">
      <c r="G39" s="1"/>
      <c r="H39" s="1" t="s">
        <v>55</v>
      </c>
      <c r="I39" s="1">
        <v>132.87</v>
      </c>
      <c r="J39" s="1" t="s">
        <v>7</v>
      </c>
    </row>
    <row r="40" ht="15.75" customHeight="1">
      <c r="G40" s="1"/>
      <c r="H40" s="1" t="s">
        <v>56</v>
      </c>
      <c r="I40" s="1">
        <v>2.81</v>
      </c>
      <c r="O40" s="6"/>
    </row>
    <row r="41" ht="15.75" customHeight="1">
      <c r="G41" s="1"/>
      <c r="H41" s="1" t="s">
        <v>53</v>
      </c>
      <c r="I41" s="1">
        <v>13.55</v>
      </c>
      <c r="O41" s="7"/>
    </row>
    <row r="42" ht="15.75" customHeight="1">
      <c r="G42" s="1"/>
      <c r="H42" s="1" t="s">
        <v>57</v>
      </c>
      <c r="I42" s="1">
        <v>104.59</v>
      </c>
      <c r="O42" s="6"/>
    </row>
    <row r="43" ht="15.75" customHeight="1">
      <c r="G43" s="1"/>
      <c r="H43" s="1" t="s">
        <v>58</v>
      </c>
      <c r="I43" s="1">
        <v>22.58</v>
      </c>
      <c r="O43" s="6"/>
    </row>
    <row r="44" ht="15.75" customHeight="1">
      <c r="G44" s="1"/>
      <c r="H44" s="1" t="s">
        <v>59</v>
      </c>
      <c r="I44" s="1">
        <v>13.55</v>
      </c>
      <c r="O44" s="7"/>
    </row>
    <row r="45" ht="15.75" customHeight="1">
      <c r="G45" s="1"/>
      <c r="H45" s="1" t="s">
        <v>60</v>
      </c>
      <c r="I45" s="1">
        <v>3.04</v>
      </c>
      <c r="O45" s="6"/>
    </row>
    <row r="46" ht="15.75" customHeight="1">
      <c r="G46" s="1"/>
      <c r="H46" s="1" t="s">
        <v>61</v>
      </c>
      <c r="I46" s="1">
        <v>23.38</v>
      </c>
      <c r="J46" s="1" t="s">
        <v>7</v>
      </c>
      <c r="O46" s="6"/>
    </row>
    <row r="47" ht="15.75" customHeight="1">
      <c r="G47" s="1"/>
      <c r="H47" s="1" t="s">
        <v>62</v>
      </c>
      <c r="I47" s="1">
        <v>6.95</v>
      </c>
      <c r="O47" s="6"/>
    </row>
    <row r="48" ht="15.75" customHeight="1">
      <c r="G48" s="1" t="s">
        <v>19</v>
      </c>
      <c r="H48" s="1" t="s">
        <v>63</v>
      </c>
      <c r="I48" s="1">
        <v>727.55</v>
      </c>
      <c r="O48" s="6"/>
    </row>
    <row r="49" ht="15.75" customHeight="1">
      <c r="G49" s="1"/>
      <c r="H49" s="1" t="s">
        <v>64</v>
      </c>
      <c r="I49" s="1">
        <v>5.85</v>
      </c>
      <c r="O49" s="6"/>
    </row>
    <row r="50" ht="15.75" customHeight="1">
      <c r="G50" s="1"/>
      <c r="H50" s="1" t="s">
        <v>65</v>
      </c>
      <c r="I50" s="1">
        <v>11.29</v>
      </c>
      <c r="O50" s="6"/>
    </row>
    <row r="51" ht="15.75" customHeight="1">
      <c r="G51" s="1"/>
      <c r="H51" s="1" t="s">
        <v>66</v>
      </c>
      <c r="I51" s="1">
        <v>14.67</v>
      </c>
      <c r="O51" s="6"/>
    </row>
    <row r="52" ht="15.75" customHeight="1">
      <c r="G52" s="1"/>
      <c r="H52" s="1" t="s">
        <v>67</v>
      </c>
      <c r="I52" s="1">
        <v>8.94</v>
      </c>
      <c r="O52" s="6"/>
    </row>
    <row r="53" ht="15.75" customHeight="1">
      <c r="G53" s="1"/>
      <c r="H53" s="1" t="s">
        <v>68</v>
      </c>
      <c r="I53" s="1">
        <v>3.02</v>
      </c>
      <c r="O53" s="7"/>
    </row>
    <row r="54" ht="15.75" customHeight="1">
      <c r="G54" s="1"/>
      <c r="H54" s="1" t="s">
        <v>69</v>
      </c>
      <c r="I54" s="1">
        <v>11.74</v>
      </c>
      <c r="O54" s="7"/>
    </row>
    <row r="55" ht="15.75" customHeight="1">
      <c r="G55" s="1"/>
      <c r="H55" s="1" t="s">
        <v>69</v>
      </c>
      <c r="I55" s="1">
        <v>5.59</v>
      </c>
      <c r="O55" s="6"/>
    </row>
    <row r="56" ht="15.75" customHeight="1">
      <c r="G56" s="1"/>
      <c r="H56" s="1" t="s">
        <v>70</v>
      </c>
      <c r="I56" s="1">
        <v>8.73</v>
      </c>
    </row>
    <row r="57" ht="15.75" customHeight="1">
      <c r="G57" s="1"/>
      <c r="H57" s="1" t="s">
        <v>71</v>
      </c>
      <c r="I57" s="1">
        <v>5.62</v>
      </c>
    </row>
    <row r="58" ht="15.75" customHeight="1">
      <c r="G58" s="1"/>
      <c r="H58" s="1" t="s">
        <v>72</v>
      </c>
      <c r="I58" s="1">
        <v>71.31</v>
      </c>
      <c r="J58" s="1" t="s">
        <v>73</v>
      </c>
    </row>
    <row r="59" ht="15.75" customHeight="1">
      <c r="G59" s="1"/>
      <c r="H59" s="1" t="s">
        <v>74</v>
      </c>
      <c r="I59" s="1">
        <v>15.26</v>
      </c>
    </row>
    <row r="60" ht="15.75" customHeight="1">
      <c r="G60" s="1"/>
      <c r="H60" s="1" t="s">
        <v>75</v>
      </c>
      <c r="I60" s="1">
        <v>10.1</v>
      </c>
    </row>
    <row r="61" ht="15.75" customHeight="1">
      <c r="G61" s="1"/>
      <c r="H61" s="1" t="s">
        <v>76</v>
      </c>
      <c r="I61" s="1">
        <v>37.03</v>
      </c>
      <c r="J61" s="1" t="s">
        <v>7</v>
      </c>
    </row>
    <row r="62" ht="15.75" customHeight="1">
      <c r="G62" s="1"/>
      <c r="H62" s="1" t="s">
        <v>70</v>
      </c>
      <c r="I62" s="1">
        <v>4.82</v>
      </c>
    </row>
    <row r="63" ht="15.75" customHeight="1">
      <c r="G63" s="1"/>
      <c r="H63" s="1" t="s">
        <v>77</v>
      </c>
      <c r="I63" s="1">
        <v>7.86</v>
      </c>
    </row>
    <row r="64" ht="15.75" customHeight="1">
      <c r="G64" s="1"/>
      <c r="H64" s="1" t="s">
        <v>78</v>
      </c>
      <c r="I64" s="1">
        <v>2.25</v>
      </c>
    </row>
    <row r="65" ht="15.75" customHeight="1">
      <c r="G65" s="1"/>
      <c r="H65" s="1" t="s">
        <v>78</v>
      </c>
      <c r="I65" s="1">
        <v>5.62</v>
      </c>
    </row>
    <row r="66" ht="15.75" customHeight="1">
      <c r="G66" s="1"/>
      <c r="H66" s="1" t="s">
        <v>78</v>
      </c>
      <c r="I66" s="1">
        <v>22.25</v>
      </c>
    </row>
    <row r="67" ht="15.75" customHeight="1">
      <c r="G67" s="1"/>
      <c r="H67" s="1" t="s">
        <v>79</v>
      </c>
      <c r="I67" s="1">
        <v>8.98</v>
      </c>
    </row>
    <row r="68" ht="15.75" customHeight="1">
      <c r="G68" s="1"/>
      <c r="H68" s="1" t="s">
        <v>70</v>
      </c>
      <c r="I68" s="1">
        <v>21.03</v>
      </c>
    </row>
    <row r="69" ht="15.75" customHeight="1">
      <c r="G69" s="1"/>
      <c r="H69" s="1" t="s">
        <v>80</v>
      </c>
      <c r="I69" s="1">
        <v>9.43</v>
      </c>
    </row>
    <row r="70" ht="15.75" customHeight="1">
      <c r="G70" s="1"/>
      <c r="H70" s="1" t="s">
        <v>81</v>
      </c>
      <c r="I70" s="1">
        <v>19.97</v>
      </c>
    </row>
    <row r="71" ht="15.75" customHeight="1">
      <c r="G71" s="1"/>
      <c r="H71" s="1" t="s">
        <v>82</v>
      </c>
      <c r="I71" s="1">
        <v>9.99</v>
      </c>
    </row>
    <row r="72" ht="15.75" customHeight="1">
      <c r="G72" s="1"/>
      <c r="H72" s="1" t="s">
        <v>83</v>
      </c>
      <c r="I72" s="1">
        <v>5.11</v>
      </c>
    </row>
    <row r="73" ht="15.75" customHeight="1">
      <c r="G73" s="1"/>
      <c r="H73" s="1" t="s">
        <v>84</v>
      </c>
      <c r="I73" s="1">
        <v>4.49</v>
      </c>
    </row>
    <row r="74" ht="15.75" customHeight="1">
      <c r="G74" s="1"/>
      <c r="H74" s="1" t="s">
        <v>85</v>
      </c>
      <c r="I74" s="1">
        <v>6.91</v>
      </c>
    </row>
    <row r="75" ht="15.75" customHeight="1">
      <c r="G75" s="1"/>
      <c r="H75" s="1" t="s">
        <v>86</v>
      </c>
      <c r="I75" s="1">
        <v>8.47</v>
      </c>
    </row>
    <row r="76" ht="15.75" customHeight="1">
      <c r="G76" s="1"/>
      <c r="H76" s="1" t="s">
        <v>87</v>
      </c>
      <c r="I76" s="1">
        <v>19.7</v>
      </c>
    </row>
    <row r="77" ht="15.75" customHeight="1">
      <c r="G77" s="1"/>
      <c r="H77" s="1" t="s">
        <v>88</v>
      </c>
      <c r="I77" s="1">
        <v>16.88</v>
      </c>
    </row>
    <row r="78" ht="15.75" customHeight="1">
      <c r="G78" s="1"/>
      <c r="H78" s="1" t="s">
        <v>89</v>
      </c>
      <c r="I78" s="1">
        <v>5.08</v>
      </c>
    </row>
    <row r="79" ht="15.75" customHeight="1">
      <c r="G79" s="1"/>
      <c r="H79" s="1" t="s">
        <v>90</v>
      </c>
      <c r="I79" s="1">
        <v>28.76</v>
      </c>
    </row>
    <row r="80" ht="15.75" customHeight="1">
      <c r="G80" s="1"/>
      <c r="H80" s="1" t="s">
        <v>91</v>
      </c>
      <c r="I80" s="1">
        <v>26.4</v>
      </c>
    </row>
    <row r="81" ht="15.75" customHeight="1">
      <c r="G81" s="1"/>
      <c r="H81" s="1" t="s">
        <v>92</v>
      </c>
      <c r="I81" s="1">
        <v>9.59</v>
      </c>
    </row>
    <row r="82" ht="15.75" customHeight="1">
      <c r="G82" s="1"/>
      <c r="H82" s="1" t="s">
        <v>93</v>
      </c>
      <c r="I82" s="1">
        <v>11.7</v>
      </c>
    </row>
    <row r="83" ht="15.75" customHeight="1">
      <c r="G83" s="1"/>
      <c r="H83" s="1" t="s">
        <v>94</v>
      </c>
      <c r="I83" s="1">
        <v>9.59</v>
      </c>
    </row>
    <row r="84" ht="15.75" customHeight="1">
      <c r="G84" s="1"/>
      <c r="H84" s="1" t="s">
        <v>95</v>
      </c>
      <c r="I84" s="1">
        <v>19.5</v>
      </c>
    </row>
    <row r="85" ht="15.75" customHeight="1">
      <c r="G85" s="1"/>
      <c r="H85" s="1" t="s">
        <v>96</v>
      </c>
      <c r="I85" s="1">
        <v>6.7</v>
      </c>
    </row>
    <row r="86" ht="15.75" customHeight="1">
      <c r="G86" s="1"/>
      <c r="H86" s="1" t="s">
        <v>97</v>
      </c>
      <c r="I86" s="1">
        <v>16.48</v>
      </c>
    </row>
    <row r="87" ht="15.75" customHeight="1">
      <c r="G87" s="1"/>
      <c r="H87" s="1" t="s">
        <v>98</v>
      </c>
      <c r="I87" s="1">
        <v>15.57</v>
      </c>
    </row>
    <row r="88" ht="15.75" customHeight="1">
      <c r="G88" s="1"/>
      <c r="H88" s="1" t="s">
        <v>57</v>
      </c>
      <c r="I88" s="1">
        <v>236.68</v>
      </c>
      <c r="J88" s="1" t="s">
        <v>7</v>
      </c>
    </row>
    <row r="89" ht="15.75" customHeight="1">
      <c r="G89" s="1"/>
      <c r="H89" s="1" t="s">
        <v>99</v>
      </c>
      <c r="I89" s="1">
        <v>13.34</v>
      </c>
    </row>
    <row r="90" ht="15.75" customHeight="1">
      <c r="G90" s="1"/>
      <c r="H90" s="1" t="s">
        <v>100</v>
      </c>
      <c r="I90" s="1">
        <v>12.91</v>
      </c>
    </row>
    <row r="91" ht="15.75" customHeight="1">
      <c r="G91" s="1"/>
      <c r="H91" s="1" t="s">
        <v>101</v>
      </c>
      <c r="I91" s="1">
        <v>6.7</v>
      </c>
    </row>
    <row r="92" ht="15.75" customHeight="1">
      <c r="G92" s="1"/>
      <c r="H92" s="1" t="s">
        <v>102</v>
      </c>
      <c r="I92" s="1">
        <v>11.36</v>
      </c>
    </row>
    <row r="93" ht="15.75" customHeight="1">
      <c r="G93" s="1"/>
      <c r="H93" s="1" t="s">
        <v>103</v>
      </c>
      <c r="I93" s="1">
        <v>5.11</v>
      </c>
    </row>
    <row r="94" ht="15.75" customHeight="1">
      <c r="G94" s="1"/>
      <c r="H94" s="1" t="s">
        <v>92</v>
      </c>
      <c r="I94" s="1">
        <v>9.77</v>
      </c>
    </row>
    <row r="95" ht="15.75" customHeight="1">
      <c r="G95" s="1"/>
      <c r="H95" s="1" t="s">
        <v>92</v>
      </c>
      <c r="I95" s="1">
        <v>10.68</v>
      </c>
    </row>
    <row r="96" ht="15.75" customHeight="1">
      <c r="G96" s="1"/>
      <c r="H96" s="1" t="s">
        <v>104</v>
      </c>
      <c r="I96" s="1">
        <v>15.91</v>
      </c>
    </row>
    <row r="97" ht="15.75" customHeight="1">
      <c r="G97" s="1"/>
      <c r="H97" s="1" t="s">
        <v>105</v>
      </c>
      <c r="I97" s="1">
        <v>4.83</v>
      </c>
    </row>
    <row r="98" ht="15.75" customHeight="1">
      <c r="G98" s="1"/>
      <c r="H98" s="1" t="s">
        <v>106</v>
      </c>
      <c r="I98" s="1">
        <v>8.53</v>
      </c>
    </row>
    <row r="99" ht="15.75" customHeight="1">
      <c r="G99" s="1"/>
      <c r="H99" s="1" t="s">
        <v>107</v>
      </c>
      <c r="I99" s="1">
        <v>9.1</v>
      </c>
    </row>
    <row r="100" ht="15.75" customHeight="1">
      <c r="G100" s="1"/>
      <c r="H100" s="1" t="s">
        <v>108</v>
      </c>
      <c r="I100" s="1">
        <v>7.43</v>
      </c>
    </row>
    <row r="101" ht="15.75" customHeight="1">
      <c r="G101" s="1"/>
      <c r="H101" s="1" t="s">
        <v>109</v>
      </c>
      <c r="I101" s="1">
        <v>11.26</v>
      </c>
    </row>
    <row r="102" ht="15.75" customHeight="1">
      <c r="G102" s="1"/>
      <c r="H102" s="1" t="s">
        <v>110</v>
      </c>
      <c r="I102" s="1">
        <v>9.1</v>
      </c>
    </row>
    <row r="103" ht="15.75" customHeight="1">
      <c r="G103" s="1"/>
      <c r="H103" s="1" t="s">
        <v>111</v>
      </c>
      <c r="I103" s="1">
        <v>20.36</v>
      </c>
    </row>
    <row r="104" ht="15.75" customHeight="1">
      <c r="G104" s="1"/>
      <c r="H104" s="1" t="s">
        <v>112</v>
      </c>
      <c r="I104" s="1">
        <v>20.14</v>
      </c>
    </row>
    <row r="105" ht="15.75" customHeight="1">
      <c r="G105" s="1"/>
      <c r="H105" s="1" t="s">
        <v>113</v>
      </c>
      <c r="I105" s="1">
        <v>14.22</v>
      </c>
    </row>
    <row r="106" ht="15.75" customHeight="1">
      <c r="G106" s="1"/>
      <c r="H106" s="1" t="s">
        <v>114</v>
      </c>
      <c r="I106" s="1">
        <v>6.17</v>
      </c>
    </row>
    <row r="107" ht="15.75" customHeight="1">
      <c r="G107" s="1"/>
      <c r="H107" s="1" t="s">
        <v>115</v>
      </c>
      <c r="I107" s="1">
        <v>8.03</v>
      </c>
    </row>
    <row r="108" ht="15.75" customHeight="1">
      <c r="G108" s="1"/>
      <c r="H108" s="1" t="s">
        <v>116</v>
      </c>
      <c r="I108" s="1">
        <v>15.93</v>
      </c>
    </row>
    <row r="109" ht="15.75" customHeight="1">
      <c r="G109" s="1"/>
      <c r="H109" s="1" t="s">
        <v>117</v>
      </c>
      <c r="I109" s="1">
        <v>14.65</v>
      </c>
    </row>
    <row r="110" ht="15.75" customHeight="1">
      <c r="G110" s="1"/>
      <c r="H110" s="1" t="s">
        <v>118</v>
      </c>
      <c r="I110" s="1">
        <v>14.77</v>
      </c>
    </row>
    <row r="111" ht="15.75" customHeight="1">
      <c r="G111" s="1"/>
      <c r="H111" s="1" t="s">
        <v>119</v>
      </c>
      <c r="I111" s="1">
        <v>2.84</v>
      </c>
    </row>
    <row r="112" ht="15.75" customHeight="1">
      <c r="G112" s="1"/>
      <c r="H112" s="1" t="s">
        <v>120</v>
      </c>
      <c r="I112" s="1">
        <v>30.83</v>
      </c>
    </row>
    <row r="113" ht="15.75" customHeight="1">
      <c r="G113" s="1"/>
      <c r="H113" s="1" t="s">
        <v>121</v>
      </c>
      <c r="I113" s="1">
        <v>23.64</v>
      </c>
    </row>
    <row r="114" ht="15.75" customHeight="1">
      <c r="G114" s="1"/>
      <c r="H114" s="1" t="s">
        <v>122</v>
      </c>
      <c r="I114" s="1">
        <v>9.14</v>
      </c>
    </row>
    <row r="115" ht="15.75" customHeight="1">
      <c r="G115" s="1"/>
      <c r="H115" s="1" t="s">
        <v>123</v>
      </c>
      <c r="I115" s="1">
        <v>13.48</v>
      </c>
    </row>
    <row r="116" ht="15.75" customHeight="1">
      <c r="G116" s="1"/>
      <c r="H116" s="1" t="s">
        <v>124</v>
      </c>
      <c r="I116" s="1">
        <v>4.57</v>
      </c>
    </row>
    <row r="117" ht="15.75" customHeight="1">
      <c r="G117" s="1"/>
      <c r="H117" s="1" t="s">
        <v>125</v>
      </c>
      <c r="I117" s="1">
        <v>22.84</v>
      </c>
    </row>
    <row r="118" ht="15.75" customHeight="1">
      <c r="G118" s="1"/>
      <c r="H118" s="1" t="s">
        <v>126</v>
      </c>
      <c r="I118" s="1">
        <v>8.27</v>
      </c>
    </row>
    <row r="119" ht="15.75" customHeight="1">
      <c r="G119" s="1"/>
      <c r="H119" s="1" t="s">
        <v>127</v>
      </c>
      <c r="I119" s="1">
        <v>48.42</v>
      </c>
      <c r="J119" s="1" t="s">
        <v>7</v>
      </c>
    </row>
    <row r="120" ht="15.75" customHeight="1">
      <c r="G120" s="1"/>
      <c r="H120" s="1" t="s">
        <v>128</v>
      </c>
      <c r="I120" s="1">
        <v>9.08</v>
      </c>
    </row>
    <row r="121" ht="15.75" customHeight="1">
      <c r="G121" s="1"/>
      <c r="H121" s="1" t="s">
        <v>129</v>
      </c>
      <c r="I121" s="1">
        <v>22.74</v>
      </c>
    </row>
    <row r="122" ht="15.75" customHeight="1">
      <c r="G122" s="1"/>
      <c r="H122" s="1" t="s">
        <v>130</v>
      </c>
      <c r="I122" s="1">
        <v>19.33</v>
      </c>
    </row>
    <row r="123" ht="15.75" customHeight="1">
      <c r="G123" s="1"/>
      <c r="H123" s="1" t="s">
        <v>131</v>
      </c>
      <c r="I123" s="1">
        <v>20.07</v>
      </c>
    </row>
    <row r="124" ht="15.75" customHeight="1">
      <c r="G124" s="1"/>
      <c r="H124" s="1" t="s">
        <v>132</v>
      </c>
      <c r="I124" s="1">
        <v>6.25</v>
      </c>
    </row>
    <row r="125" ht="15.75" customHeight="1">
      <c r="G125" s="1"/>
      <c r="H125" s="1" t="s">
        <v>133</v>
      </c>
      <c r="I125" s="1">
        <v>18.8</v>
      </c>
    </row>
    <row r="126" ht="15.75" customHeight="1">
      <c r="G126" s="1"/>
      <c r="H126" s="1" t="s">
        <v>134</v>
      </c>
      <c r="I126" s="1">
        <v>110.5</v>
      </c>
    </row>
    <row r="127" ht="15.75" customHeight="1">
      <c r="G127" s="1"/>
      <c r="H127" s="1" t="s">
        <v>135</v>
      </c>
      <c r="I127" s="1">
        <v>34.18</v>
      </c>
    </row>
    <row r="128" ht="15.75" customHeight="1">
      <c r="G128" s="1"/>
      <c r="H128" s="1" t="s">
        <v>136</v>
      </c>
      <c r="I128" s="1">
        <v>7.18</v>
      </c>
    </row>
    <row r="129" ht="15.75" customHeight="1">
      <c r="G129" s="1"/>
      <c r="H129" s="1" t="s">
        <v>137</v>
      </c>
      <c r="I129" s="1">
        <v>7.52</v>
      </c>
    </row>
    <row r="130" ht="15.75" customHeight="1">
      <c r="G130" s="1"/>
      <c r="H130" s="1" t="s">
        <v>138</v>
      </c>
      <c r="I130" s="1">
        <v>39.87</v>
      </c>
    </row>
    <row r="131" ht="15.75" customHeight="1">
      <c r="G131" s="1"/>
      <c r="H131" s="1" t="s">
        <v>139</v>
      </c>
      <c r="I131" s="1">
        <v>18.57</v>
      </c>
    </row>
    <row r="132" ht="15.75" customHeight="1">
      <c r="G132" s="1"/>
      <c r="H132" s="1" t="s">
        <v>140</v>
      </c>
      <c r="I132" s="1">
        <v>100.21</v>
      </c>
      <c r="J132" s="1" t="s">
        <v>7</v>
      </c>
    </row>
    <row r="133" ht="15.75" customHeight="1">
      <c r="G133" s="1"/>
      <c r="H133" s="1" t="s">
        <v>141</v>
      </c>
      <c r="I133" s="1">
        <v>13.67</v>
      </c>
    </row>
    <row r="134" ht="15.75" customHeight="1">
      <c r="G134" s="1"/>
      <c r="H134" s="1" t="s">
        <v>142</v>
      </c>
      <c r="I134" s="1">
        <v>2.29</v>
      </c>
    </row>
    <row r="135" ht="15.75" customHeight="1">
      <c r="G135" s="1"/>
      <c r="H135" s="1" t="s">
        <v>143</v>
      </c>
      <c r="I135" s="1">
        <v>21.76</v>
      </c>
    </row>
    <row r="136" ht="15.75" customHeight="1">
      <c r="G136" s="1"/>
      <c r="H136" s="1" t="s">
        <v>47</v>
      </c>
      <c r="I136" s="1">
        <v>19.71</v>
      </c>
    </row>
    <row r="137" ht="15.75" customHeight="1">
      <c r="G137" s="1"/>
      <c r="H137" s="1" t="s">
        <v>144</v>
      </c>
      <c r="I137" s="1">
        <v>45.81</v>
      </c>
    </row>
    <row r="138" ht="15.75" customHeight="1">
      <c r="G138" s="1"/>
      <c r="H138" s="1" t="s">
        <v>145</v>
      </c>
      <c r="I138" s="1">
        <v>108.12</v>
      </c>
      <c r="J138" s="1" t="s">
        <v>7</v>
      </c>
    </row>
    <row r="139" ht="15.75" customHeight="1">
      <c r="G139" s="1"/>
      <c r="H139" s="1" t="s">
        <v>27</v>
      </c>
      <c r="I139" s="1">
        <v>5.73</v>
      </c>
    </row>
    <row r="140" ht="15.75" customHeight="1">
      <c r="G140" s="1"/>
      <c r="H140" s="1" t="s">
        <v>27</v>
      </c>
      <c r="I140" s="1">
        <v>2.86</v>
      </c>
    </row>
    <row r="141" ht="15.75" customHeight="1">
      <c r="G141" s="1"/>
      <c r="H141" s="1" t="s">
        <v>146</v>
      </c>
      <c r="I141" s="1">
        <v>11.45</v>
      </c>
    </row>
    <row r="142" ht="15.75" customHeight="1">
      <c r="G142" s="1"/>
      <c r="H142" s="1" t="s">
        <v>147</v>
      </c>
      <c r="I142" s="1">
        <v>18.23</v>
      </c>
    </row>
    <row r="143" ht="15.75" customHeight="1">
      <c r="G143" s="1"/>
      <c r="H143" s="1" t="s">
        <v>148</v>
      </c>
      <c r="I143" s="1">
        <v>1.15</v>
      </c>
    </row>
    <row r="144" ht="15.75" customHeight="1">
      <c r="G144" s="1"/>
      <c r="H144" s="1" t="s">
        <v>149</v>
      </c>
      <c r="I144" s="1">
        <v>14.89</v>
      </c>
    </row>
    <row r="145" ht="15.75" customHeight="1">
      <c r="G145" s="1"/>
      <c r="H145" s="1" t="s">
        <v>149</v>
      </c>
      <c r="I145" s="1">
        <v>14.89</v>
      </c>
    </row>
    <row r="146" ht="15.75" customHeight="1">
      <c r="G146" s="1"/>
      <c r="H146" s="1" t="s">
        <v>150</v>
      </c>
      <c r="I146" s="1">
        <v>9.85</v>
      </c>
    </row>
    <row r="147" ht="15.75" customHeight="1">
      <c r="G147" s="1"/>
      <c r="H147" s="1" t="s">
        <v>151</v>
      </c>
      <c r="I147" s="1">
        <v>80.2</v>
      </c>
    </row>
    <row r="148" ht="15.75" customHeight="1">
      <c r="G148" s="1"/>
      <c r="H148" s="8" t="s">
        <v>0</v>
      </c>
      <c r="I148" s="9">
        <f>SUM(I4:I147)</f>
        <v>3802.98</v>
      </c>
    </row>
    <row r="149" ht="15.75" customHeight="1">
      <c r="G149" s="1"/>
      <c r="H149" s="1" t="s">
        <v>152</v>
      </c>
      <c r="I149" s="1">
        <f>I148-I48</f>
        <v>3075.43</v>
      </c>
    </row>
    <row r="150" ht="15.75" customHeight="1"/>
    <row r="151" ht="15.75" customHeight="1">
      <c r="G151" s="1"/>
      <c r="H151" s="1" t="s">
        <v>153</v>
      </c>
      <c r="I151" s="5">
        <f>SUMIF(J4:J1000, "Yes", I4:I1000)</f>
        <v>1250.78</v>
      </c>
    </row>
    <row r="152" ht="15.75" customHeight="1">
      <c r="G152" s="1"/>
      <c r="H152" s="1" t="s">
        <v>154</v>
      </c>
      <c r="I152" s="5">
        <f>I149-I151</f>
        <v>1824.65</v>
      </c>
    </row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