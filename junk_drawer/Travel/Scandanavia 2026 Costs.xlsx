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" sheetId="2" r:id="rId6"/>
  </sheets>
  <definedNames/>
  <calcPr/>
</workbook>
</file>

<file path=xl/sharedStrings.xml><?xml version="1.0" encoding="utf-8"?>
<sst xmlns="http://schemas.openxmlformats.org/spreadsheetml/2006/main" count="264" uniqueCount="99">
  <si>
    <t>Total (USD)</t>
  </si>
  <si>
    <t>Need copenhagen hostel</t>
  </si>
  <si>
    <t>Purchase</t>
  </si>
  <si>
    <t>Cost (EUR)</t>
  </si>
  <si>
    <t>Cost (Dollar)</t>
  </si>
  <si>
    <t>Danish DKK</t>
  </si>
  <si>
    <t>Nordic NOK</t>
  </si>
  <si>
    <t>SEK</t>
  </si>
  <si>
    <t>Paid to MOM</t>
  </si>
  <si>
    <t xml:space="preserve">Category </t>
  </si>
  <si>
    <t>Converted USD</t>
  </si>
  <si>
    <t>Flight to Copenhagen</t>
  </si>
  <si>
    <t>NO</t>
  </si>
  <si>
    <t>Travel</t>
  </si>
  <si>
    <t>Train Pass</t>
  </si>
  <si>
    <t>Bus to Marco Polo</t>
  </si>
  <si>
    <t>Yes</t>
  </si>
  <si>
    <t>Train from Copenhagen airport to city</t>
  </si>
  <si>
    <t>No</t>
  </si>
  <si>
    <t>Airlo sim</t>
  </si>
  <si>
    <t>Internet</t>
  </si>
  <si>
    <t>Burger</t>
  </si>
  <si>
    <t>Food</t>
  </si>
  <si>
    <t>Hot Dog</t>
  </si>
  <si>
    <t>Hot Chocolate</t>
  </si>
  <si>
    <t>Groceries</t>
  </si>
  <si>
    <t>Botanical Gardens Tickets</t>
  </si>
  <si>
    <t>Parks/Rec</t>
  </si>
  <si>
    <t>Architecture Museum</t>
  </si>
  <si>
    <t>Sandiwches</t>
  </si>
  <si>
    <t>Pork Sandwich</t>
  </si>
  <si>
    <t>Groceries for dinner`</t>
  </si>
  <si>
    <t>Garmin Cable</t>
  </si>
  <si>
    <t>Tech</t>
  </si>
  <si>
    <t>Groceries for breakfast/lunch</t>
  </si>
  <si>
    <t>Matcha</t>
  </si>
  <si>
    <t>Coffee</t>
  </si>
  <si>
    <t>Bus ticket</t>
  </si>
  <si>
    <t>Cafe</t>
  </si>
  <si>
    <t>Bannanas+chocolate</t>
  </si>
  <si>
    <t>Cables</t>
  </si>
  <si>
    <t xml:space="preserve">Stockholm Hostel </t>
  </si>
  <si>
    <t>Housing</t>
  </si>
  <si>
    <t>Oslo Airbnb</t>
  </si>
  <si>
    <t>Ruter bud ticket</t>
  </si>
  <si>
    <t>Burger (from dad)</t>
  </si>
  <si>
    <t>Town hall ticket</t>
  </si>
  <si>
    <t>Pin</t>
  </si>
  <si>
    <t>Souvenirs</t>
  </si>
  <si>
    <t>Denmark pins and pat h</t>
  </si>
  <si>
    <t>Royal palace ticket</t>
  </si>
  <si>
    <t>Royal palace pin</t>
  </si>
  <si>
    <t>Photographia ticket</t>
  </si>
  <si>
    <t>Photogeaphia food</t>
  </si>
  <si>
    <t xml:space="preserve">Photographia pin </t>
  </si>
  <si>
    <t>breakfast</t>
  </si>
  <si>
    <t>National Museum Ticket</t>
  </si>
  <si>
    <t>Restaurant @ National Mus</t>
  </si>
  <si>
    <t>Nordiska Museum</t>
  </si>
  <si>
    <t>Railway Ticket</t>
  </si>
  <si>
    <t>MEATBALLS</t>
  </si>
  <si>
    <t>Extra Night @ Generator</t>
  </si>
  <si>
    <t>Breakfast + lunch</t>
  </si>
  <si>
    <t>Train + bus to Park</t>
  </si>
  <si>
    <t>Food at train station</t>
  </si>
  <si>
    <t>Dinner</t>
  </si>
  <si>
    <t>Ferry to Turku</t>
  </si>
  <si>
    <t>Food on Ferry</t>
  </si>
  <si>
    <t>Helsinki Hostel</t>
  </si>
  <si>
    <t>Breakfast on Ferry</t>
  </si>
  <si>
    <t xml:space="preserve">Breakfast </t>
  </si>
  <si>
    <t>Lunch</t>
  </si>
  <si>
    <t>Fudge</t>
  </si>
  <si>
    <t>MISSING PAYMENTS</t>
  </si>
  <si>
    <t>Extra night @ SweetDream</t>
  </si>
  <si>
    <t>Breakfast</t>
  </si>
  <si>
    <t>Bus/ferry Ticket</t>
  </si>
  <si>
    <t>Pins/Patches</t>
  </si>
  <si>
    <t>Museum Tickets</t>
  </si>
  <si>
    <t>Patches/Pins from museum</t>
  </si>
  <si>
    <t xml:space="preserve">No </t>
  </si>
  <si>
    <t>Breakfas</t>
  </si>
  <si>
    <t>Ferry to Tullinn</t>
  </si>
  <si>
    <t>Snacks in Tallinn</t>
  </si>
  <si>
    <t>Hat in Tallinn</t>
  </si>
  <si>
    <t xml:space="preserve">Bakery in Tallinn </t>
  </si>
  <si>
    <t>Tower ticket</t>
  </si>
  <si>
    <t>Crepes in Tallinn</t>
  </si>
  <si>
    <t>Water</t>
  </si>
  <si>
    <t>Laundry</t>
  </si>
  <si>
    <t>Extra night @ Guesthouse</t>
  </si>
  <si>
    <t>Helsinki Metro</t>
  </si>
  <si>
    <t>hot chocolate</t>
  </si>
  <si>
    <t>Train to Rovaniemi</t>
  </si>
  <si>
    <t>Rovaniemi Hostel</t>
  </si>
  <si>
    <t>Bus Ticket to Porvoo</t>
  </si>
  <si>
    <t>Bus Ticket Back</t>
  </si>
  <si>
    <t>Bus tickets in Rovaniemi x4</t>
  </si>
  <si>
    <t>Liu and Li Oy Espoo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</si>
</sst>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Sheet1!$M$2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Sheet1!$L$3:$L$100</c:f>
            </c:strRef>
          </c:cat>
          <c:val>
            <c:numRef>
              <c:f>Sheet1!$M$3:$M$100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Sheet1!$M$2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Sheet1!$L$3:$L$8</c:f>
            </c:strRef>
          </c:cat>
          <c:val>
            <c:numRef>
              <c:f>Sheet1!$M$3:$M$8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485775</xdr:colOff>
      <xdr:row>11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B1" s="1" t="s">
        <v>0</v>
      </c>
      <c r="C1" s="2">
        <f>IFERROR(__xludf.DUMMYFUNCTION("SUM(C3:C1001)*GOOGLEFINANCE(""currency:EURUSD"")"),821.115331)</f>
        <v>821.115331</v>
      </c>
      <c r="D1" s="2">
        <f>SUM(D3:D1001)</f>
        <v>652.33</v>
      </c>
      <c r="E1" s="2">
        <f>IFERROR(__xludf.DUMMYFUNCTION("SUM(E3:E1001)*GOOGLEFINANCE(""currency:DKKUSD"")"),162.6881904)</f>
        <v>162.6881904</v>
      </c>
      <c r="F1" s="2">
        <f>IFERROR(__xludf.DUMMYFUNCTION("SUM(F3:F1001)*GOOGLEFINANCE(""currency:NOKUSD"")"),155.31336)</f>
        <v>155.31336</v>
      </c>
      <c r="G1" s="2">
        <f>IFERROR(__xludf.DUMMYFUNCTION("SUM(G3:G1001)*GOOGLEFINANCE(""currency:SEKUSD"")"),254.27998699999998)</f>
        <v>254.279987</v>
      </c>
      <c r="H1" s="3" t="s">
        <v>1</v>
      </c>
      <c r="M1" s="4"/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L2" s="2" t="str">
        <f>IFERROR(__xludf.DUMMYFUNCTION("UNIQUE(FILTER(I2:I1001, I2:I1001&lt;&gt;""""))"),"Category ")</f>
        <v>Category </v>
      </c>
      <c r="M2" s="4">
        <f>SUM(M3:M1001)</f>
        <v>2045.726868</v>
      </c>
    </row>
    <row r="3">
      <c r="B3" s="1" t="s">
        <v>11</v>
      </c>
      <c r="D3" s="1">
        <v>112.0</v>
      </c>
      <c r="E3" s="1"/>
      <c r="F3" s="1"/>
      <c r="G3" s="1"/>
      <c r="H3" s="1" t="s">
        <v>12</v>
      </c>
      <c r="I3" s="1" t="s">
        <v>13</v>
      </c>
      <c r="J3" s="4">
        <f>IFERROR(__xludf.DUMMYFUNCTION("IF(D3&lt;&gt;"""", D3,
 IF(C3&lt;&gt;"""", C3*GOOGLEFINANCE(""currency:EURUSD""),
 IF(E3&lt;&gt;"""", E3*GOOGLEFINANCE(""currency:DKKUSD""),
 IF(F3&lt;&gt;"""", F3*GOOGLEFINANCE(""currency:NOKUSD""),
 IF(G3&lt;&gt;"""", G3*GOOGLEFINANCE(""currency:SEKUSD""), """")))))
"),112.0)</f>
        <v>112</v>
      </c>
      <c r="L3" s="2" t="str">
        <f>IFERROR(__xludf.DUMMYFUNCTION("""COMPUTED_VALUE"""),"Travel")</f>
        <v>Travel</v>
      </c>
      <c r="M3" s="4">
        <f t="shared" ref="M3:M10" si="1">SUMIF($I:$I, L3, $J:$J)</f>
        <v>620.7462311</v>
      </c>
    </row>
    <row r="4">
      <c r="B4" s="1" t="s">
        <v>14</v>
      </c>
      <c r="C4" s="1">
        <v>212.0</v>
      </c>
      <c r="E4" s="1"/>
      <c r="F4" s="1"/>
      <c r="G4" s="1"/>
      <c r="H4" s="1" t="s">
        <v>12</v>
      </c>
      <c r="I4" s="1" t="s">
        <v>13</v>
      </c>
      <c r="J4" s="4">
        <f>IFERROR(__xludf.DUMMYFUNCTION("IF(D4&lt;&gt;"""", D4,
 IF(C4&lt;&gt;"""", C4*GOOGLEFINANCE(""currency:EURUSD""),
 IF(E4&lt;&gt;"""", E4*GOOGLEFINANCE(""currency:DKKUSD""),
 IF(F4&lt;&gt;"""", F4*GOOGLEFINANCE(""currency:NOKUSD""),
 IF(G4&lt;&gt;"""", G4*GOOGLEFINANCE(""currency:SEKUSD""), """")))))
"),246.89944)</f>
        <v>246.89944</v>
      </c>
      <c r="L4" s="2" t="str">
        <f>IFERROR(__xludf.DUMMYFUNCTION("""COMPUTED_VALUE"""),"Internet")</f>
        <v>Internet</v>
      </c>
      <c r="M4" s="4">
        <f t="shared" si="1"/>
        <v>37</v>
      </c>
    </row>
    <row r="5">
      <c r="B5" s="1" t="s">
        <v>15</v>
      </c>
      <c r="C5" s="1">
        <v>13.0</v>
      </c>
      <c r="E5" s="1"/>
      <c r="F5" s="1"/>
      <c r="G5" s="1"/>
      <c r="H5" s="1" t="s">
        <v>16</v>
      </c>
      <c r="I5" s="1" t="s">
        <v>13</v>
      </c>
      <c r="J5" s="4">
        <f>IFERROR(__xludf.DUMMYFUNCTION("IF(D5&lt;&gt;"""", D5,
 IF(C5&lt;&gt;"""", C5*GOOGLEFINANCE(""currency:EURUSD""),
 IF(E5&lt;&gt;"""", E5*GOOGLEFINANCE(""currency:DKKUSD""),
 IF(F5&lt;&gt;"""", F5*GOOGLEFINANCE(""currency:NOKUSD""),
 IF(G5&lt;&gt;"""", G5*GOOGLEFINANCE(""currency:SEKUSD""), """")))))
"),15.14006)</f>
        <v>15.14006</v>
      </c>
      <c r="L5" s="2" t="str">
        <f>IFERROR(__xludf.DUMMYFUNCTION("""COMPUTED_VALUE"""),"Food")</f>
        <v>Food</v>
      </c>
      <c r="M5" s="4">
        <f t="shared" si="1"/>
        <v>517.3159386</v>
      </c>
    </row>
    <row r="6">
      <c r="B6" s="1" t="s">
        <v>17</v>
      </c>
      <c r="E6" s="1">
        <v>24.0</v>
      </c>
      <c r="F6" s="1"/>
      <c r="G6" s="1"/>
      <c r="H6" s="1" t="s">
        <v>18</v>
      </c>
      <c r="I6" s="1" t="s">
        <v>13</v>
      </c>
      <c r="J6" s="4">
        <f>IFERROR(__xludf.DUMMYFUNCTION("IF(D6&lt;&gt;"""", D6,
 IF(C6&lt;&gt;"""", C6*GOOGLEFINANCE(""currency:EURUSD""),
 IF(E6&lt;&gt;"""", E6*GOOGLEFINANCE(""currency:DKKUSD""),
 IF(F6&lt;&gt;"""", F6*GOOGLEFINANCE(""currency:NOKUSD""),
 IF(G6&lt;&gt;"""", G6*GOOGLEFINANCE(""currency:SEKUSD""), """")))))
"),3.7399584)</f>
        <v>3.7399584</v>
      </c>
      <c r="L6" s="2" t="str">
        <f>IFERROR(__xludf.DUMMYFUNCTION("""COMPUTED_VALUE"""),"Parks/Rec")</f>
        <v>Parks/Rec</v>
      </c>
      <c r="M6" s="4">
        <f t="shared" si="1"/>
        <v>131.3414485</v>
      </c>
    </row>
    <row r="7">
      <c r="B7" s="1" t="s">
        <v>19</v>
      </c>
      <c r="D7" s="1">
        <v>37.0</v>
      </c>
      <c r="F7" s="1"/>
      <c r="G7" s="1"/>
      <c r="H7" s="1" t="s">
        <v>18</v>
      </c>
      <c r="I7" s="1" t="s">
        <v>20</v>
      </c>
      <c r="J7" s="4">
        <f>IFERROR(__xludf.DUMMYFUNCTION("IF(D7&lt;&gt;"""", D7,
 IF(C7&lt;&gt;"""", C7*GOOGLEFINANCE(""currency:EURUSD""),
 IF(E7&lt;&gt;"""", E7*GOOGLEFINANCE(""currency:DKKUSD""),
 IF(F7&lt;&gt;"""", F7*GOOGLEFINANCE(""currency:NOKUSD""),
 IF(G7&lt;&gt;"""", G7*GOOGLEFINANCE(""currency:SEKUSD""), """")))))
"),37.0)</f>
        <v>37</v>
      </c>
      <c r="L7" s="2" t="str">
        <f>IFERROR(__xludf.DUMMYFUNCTION("""COMPUTED_VALUE"""),"Tech")</f>
        <v>Tech</v>
      </c>
      <c r="M7" s="4">
        <f t="shared" si="1"/>
        <v>77.4780855</v>
      </c>
    </row>
    <row r="8">
      <c r="B8" s="1" t="s">
        <v>21</v>
      </c>
      <c r="E8" s="1">
        <v>139.0</v>
      </c>
      <c r="F8" s="1"/>
      <c r="G8" s="1"/>
      <c r="H8" s="1" t="s">
        <v>16</v>
      </c>
      <c r="I8" s="1" t="s">
        <v>22</v>
      </c>
      <c r="J8" s="4">
        <f>IFERROR(__xludf.DUMMYFUNCTION("IF(D8&lt;&gt;"""", D8,
 IF(C8&lt;&gt;"""", C8*GOOGLEFINANCE(""currency:EURUSD""),
 IF(E8&lt;&gt;"""", E8*GOOGLEFINANCE(""currency:DKKUSD""),
 IF(F8&lt;&gt;"""", F8*GOOGLEFINANCE(""currency:NOKUSD""),
 IF(G8&lt;&gt;"""", G8*GOOGLEFINANCE(""currency:SEKUSD""), """")))))
"),21.6605924)</f>
        <v>21.6605924</v>
      </c>
      <c r="L8" s="2" t="str">
        <f>IFERROR(__xludf.DUMMYFUNCTION("""COMPUTED_VALUE"""),"Housing")</f>
        <v>Housing</v>
      </c>
      <c r="M8" s="4">
        <f t="shared" si="1"/>
        <v>571.1623</v>
      </c>
    </row>
    <row r="9">
      <c r="B9" s="1" t="s">
        <v>23</v>
      </c>
      <c r="E9" s="1">
        <v>65.0</v>
      </c>
      <c r="F9" s="1"/>
      <c r="G9" s="1"/>
      <c r="H9" s="1" t="s">
        <v>16</v>
      </c>
      <c r="I9" s="1" t="s">
        <v>22</v>
      </c>
      <c r="J9" s="4">
        <f>IFERROR(__xludf.DUMMYFUNCTION("IF(D9&lt;&gt;"""", D9,
 IF(C9&lt;&gt;"""", C9*GOOGLEFINANCE(""currency:EURUSD""),
 IF(E9&lt;&gt;"""", E9*GOOGLEFINANCE(""currency:DKKUSD""),
 IF(F9&lt;&gt;"""", F9*GOOGLEFINANCE(""currency:NOKUSD""),
 IF(G9&lt;&gt;"""", G9*GOOGLEFINANCE(""currency:SEKUSD""), """")))))
"),10.129054)</f>
        <v>10.129054</v>
      </c>
      <c r="L9" s="2" t="str">
        <f>IFERROR(__xludf.DUMMYFUNCTION("""COMPUTED_VALUE"""),"Souvenirs")</f>
        <v>Souvenirs</v>
      </c>
      <c r="M9" s="4">
        <f t="shared" si="1"/>
        <v>76.7074247</v>
      </c>
    </row>
    <row r="10">
      <c r="B10" s="1" t="s">
        <v>24</v>
      </c>
      <c r="E10" s="1">
        <v>57.0</v>
      </c>
      <c r="F10" s="1"/>
      <c r="G10" s="1"/>
      <c r="H10" s="1" t="s">
        <v>16</v>
      </c>
      <c r="I10" s="1" t="s">
        <v>22</v>
      </c>
      <c r="J10" s="4">
        <f>IFERROR(__xludf.DUMMYFUNCTION("IF(D10&lt;&gt;"""", D10,
 IF(C10&lt;&gt;"""", C10*GOOGLEFINANCE(""currency:EURUSD""),
 IF(E10&lt;&gt;"""", E10*GOOGLEFINANCE(""currency:DKKUSD""),
 IF(F10&lt;&gt;"""", F10*GOOGLEFINANCE(""currency:NOKUSD""),
 IF(G10&lt;&gt;"""", G10*GOOGLEFINANCE(""currency:SEKUSD""), """")))))
"),8.882401199999999)</f>
        <v>8.8824012</v>
      </c>
      <c r="L10" s="2" t="str">
        <f>IFERROR(__xludf.DUMMYFUNCTION("""COMPUTED_VALUE"""),"Laundry")</f>
        <v>Laundry</v>
      </c>
      <c r="M10" s="4">
        <f t="shared" si="1"/>
        <v>13.97544</v>
      </c>
    </row>
    <row r="11">
      <c r="B11" s="1" t="s">
        <v>25</v>
      </c>
      <c r="E11" s="1">
        <v>63.0</v>
      </c>
      <c r="F11" s="1"/>
      <c r="G11" s="1"/>
      <c r="H11" s="1" t="s">
        <v>16</v>
      </c>
      <c r="I11" s="1" t="s">
        <v>22</v>
      </c>
      <c r="J11" s="4">
        <f>IFERROR(__xludf.DUMMYFUNCTION("IF(D11&lt;&gt;"""", D11,
 IF(C11&lt;&gt;"""", C11*GOOGLEFINANCE(""currency:EURUSD""),
 IF(E11&lt;&gt;"""", E11*GOOGLEFINANCE(""currency:DKKUSD""),
 IF(F11&lt;&gt;"""", F11*GOOGLEFINANCE(""currency:NOKUSD""),
 IF(G11&lt;&gt;"""", G11*GOOGLEFINANCE(""currency:SEKUSD""), """")))))
"),9.817390799999998)</f>
        <v>9.8173908</v>
      </c>
      <c r="M11" s="4"/>
    </row>
    <row r="12">
      <c r="B12" s="1" t="s">
        <v>26</v>
      </c>
      <c r="E12" s="1">
        <v>80.0</v>
      </c>
      <c r="F12" s="1"/>
      <c r="G12" s="1"/>
      <c r="H12" s="1" t="s">
        <v>18</v>
      </c>
      <c r="I12" s="1" t="s">
        <v>27</v>
      </c>
      <c r="J12" s="4">
        <f>IFERROR(__xludf.DUMMYFUNCTION("IF(D12&lt;&gt;"""", D12,
 IF(C12&lt;&gt;"""", C12*GOOGLEFINANCE(""currency:EURUSD""),
 IF(E12&lt;&gt;"""", E12*GOOGLEFINANCE(""currency:DKKUSD""),
 IF(F12&lt;&gt;"""", F12*GOOGLEFINANCE(""currency:NOKUSD""),
 IF(G12&lt;&gt;"""", G12*GOOGLEFINANCE(""currency:SEKUSD""), """")))))
"),12.466527999999998)</f>
        <v>12.466528</v>
      </c>
      <c r="M12" s="4"/>
    </row>
    <row r="13">
      <c r="B13" s="1" t="s">
        <v>28</v>
      </c>
      <c r="E13" s="1">
        <v>80.0</v>
      </c>
      <c r="F13" s="1"/>
      <c r="G13" s="1"/>
      <c r="H13" s="1" t="s">
        <v>18</v>
      </c>
      <c r="I13" s="1" t="s">
        <v>27</v>
      </c>
      <c r="J13" s="4">
        <f>IFERROR(__xludf.DUMMYFUNCTION("IF(D13&lt;&gt;"""", D13,
 IF(C13&lt;&gt;"""", C13*GOOGLEFINANCE(""currency:EURUSD""),
 IF(E13&lt;&gt;"""", E13*GOOGLEFINANCE(""currency:DKKUSD""),
 IF(F13&lt;&gt;"""", F13*GOOGLEFINANCE(""currency:NOKUSD""),
 IF(G13&lt;&gt;"""", G13*GOOGLEFINANCE(""currency:SEKUSD""), """")))))
"),12.466527999999998)</f>
        <v>12.466528</v>
      </c>
      <c r="M13" s="4"/>
    </row>
    <row r="14">
      <c r="B14" s="1" t="s">
        <v>29</v>
      </c>
      <c r="E14" s="1">
        <v>175.0</v>
      </c>
      <c r="F14" s="1"/>
      <c r="G14" s="1"/>
      <c r="H14" s="1" t="s">
        <v>18</v>
      </c>
      <c r="I14" s="1" t="s">
        <v>22</v>
      </c>
      <c r="J14" s="4">
        <f>IFERROR(__xludf.DUMMYFUNCTION("IF(D14&lt;&gt;"""", D14,
 IF(C14&lt;&gt;"""", C14*GOOGLEFINANCE(""currency:EURUSD""),
 IF(E14&lt;&gt;"""", E14*GOOGLEFINANCE(""currency:DKKUSD""),
 IF(F14&lt;&gt;"""", F14*GOOGLEFINANCE(""currency:NOKUSD""),
 IF(G14&lt;&gt;"""", G14*GOOGLEFINANCE(""currency:SEKUSD""), """")))))
"),27.270529999999997)</f>
        <v>27.27053</v>
      </c>
      <c r="M14" s="4"/>
    </row>
    <row r="15">
      <c r="B15" s="1" t="s">
        <v>30</v>
      </c>
      <c r="E15" s="1">
        <v>65.0</v>
      </c>
      <c r="F15" s="1"/>
      <c r="G15" s="1"/>
      <c r="H15" s="1" t="s">
        <v>18</v>
      </c>
      <c r="I15" s="1" t="s">
        <v>22</v>
      </c>
      <c r="J15" s="4">
        <f>IFERROR(__xludf.DUMMYFUNCTION("IF(D15&lt;&gt;"""", D15,
 IF(C15&lt;&gt;"""", C15*GOOGLEFINANCE(""currency:EURUSD""),
 IF(E15&lt;&gt;"""", E15*GOOGLEFINANCE(""currency:DKKUSD""),
 IF(F15&lt;&gt;"""", F15*GOOGLEFINANCE(""currency:NOKUSD""),
 IF(G15&lt;&gt;"""", G15*GOOGLEFINANCE(""currency:SEKUSD""), """")))))
"),10.129054)</f>
        <v>10.129054</v>
      </c>
      <c r="M15" s="4"/>
    </row>
    <row r="16">
      <c r="B16" s="1" t="s">
        <v>24</v>
      </c>
      <c r="E16" s="1">
        <v>58.0</v>
      </c>
      <c r="F16" s="1"/>
      <c r="G16" s="1"/>
      <c r="H16" s="1" t="s">
        <v>18</v>
      </c>
      <c r="I16" s="1" t="s">
        <v>22</v>
      </c>
      <c r="J16" s="4">
        <f>IFERROR(__xludf.DUMMYFUNCTION("IF(D16&lt;&gt;"""", D16,
 IF(C16&lt;&gt;"""", C16*GOOGLEFINANCE(""currency:EURUSD""),
 IF(E16&lt;&gt;"""", E16*GOOGLEFINANCE(""currency:DKKUSD""),
 IF(F16&lt;&gt;"""", F16*GOOGLEFINANCE(""currency:NOKUSD""),
 IF(G16&lt;&gt;"""", G16*GOOGLEFINANCE(""currency:SEKUSD""), """")))))
"),9.0382328)</f>
        <v>9.0382328</v>
      </c>
      <c r="M16" s="4"/>
    </row>
    <row r="17">
      <c r="B17" s="1" t="s">
        <v>31</v>
      </c>
      <c r="E17" s="1">
        <v>67.0</v>
      </c>
      <c r="F17" s="1"/>
      <c r="G17" s="1"/>
      <c r="H17" s="1" t="s">
        <v>18</v>
      </c>
      <c r="I17" s="1" t="s">
        <v>22</v>
      </c>
      <c r="J17" s="4">
        <f>IFERROR(__xludf.DUMMYFUNCTION("IF(D17&lt;&gt;"""", D17,
 IF(C17&lt;&gt;"""", C17*GOOGLEFINANCE(""currency:EURUSD""),
 IF(E17&lt;&gt;"""", E17*GOOGLEFINANCE(""currency:DKKUSD""),
 IF(F17&lt;&gt;"""", F17*GOOGLEFINANCE(""currency:NOKUSD""),
 IF(G17&lt;&gt;"""", G17*GOOGLEFINANCE(""currency:SEKUSD""), """")))))
"),10.4407172)</f>
        <v>10.4407172</v>
      </c>
      <c r="M17" s="4"/>
    </row>
    <row r="18">
      <c r="B18" s="1" t="s">
        <v>32</v>
      </c>
      <c r="E18" s="1">
        <v>30.0</v>
      </c>
      <c r="F18" s="1"/>
      <c r="G18" s="1"/>
      <c r="H18" s="1" t="s">
        <v>18</v>
      </c>
      <c r="I18" s="1" t="s">
        <v>33</v>
      </c>
      <c r="J18" s="4">
        <f>IFERROR(__xludf.DUMMYFUNCTION("IF(D18&lt;&gt;"""", D18,
 IF(C18&lt;&gt;"""", C18*GOOGLEFINANCE(""currency:EURUSD""),
 IF(E18&lt;&gt;"""", E18*GOOGLEFINANCE(""currency:DKKUSD""),
 IF(F18&lt;&gt;"""", F18*GOOGLEFINANCE(""currency:NOKUSD""),
 IF(G18&lt;&gt;"""", G18*GOOGLEFINANCE(""currency:SEKUSD""), """")))))
"),4.674948)</f>
        <v>4.674948</v>
      </c>
      <c r="M18" s="4"/>
    </row>
    <row r="19">
      <c r="B19" s="1" t="s">
        <v>34</v>
      </c>
      <c r="E19" s="1">
        <v>89.0</v>
      </c>
      <c r="F19" s="1"/>
      <c r="G19" s="1"/>
      <c r="H19" s="1" t="s">
        <v>18</v>
      </c>
      <c r="I19" s="1" t="s">
        <v>22</v>
      </c>
      <c r="J19" s="4">
        <f>IFERROR(__xludf.DUMMYFUNCTION("IF(D19&lt;&gt;"""", D19,
 IF(C19&lt;&gt;"""", C19*GOOGLEFINANCE(""currency:EURUSD""),
 IF(E19&lt;&gt;"""", E19*GOOGLEFINANCE(""currency:DKKUSD""),
 IF(F19&lt;&gt;"""", F19*GOOGLEFINANCE(""currency:NOKUSD""),
 IF(G19&lt;&gt;"""", G19*GOOGLEFINANCE(""currency:SEKUSD""), """")))))
"),13.869012399999999)</f>
        <v>13.8690124</v>
      </c>
      <c r="M19" s="4"/>
    </row>
    <row r="20">
      <c r="B20" s="1" t="s">
        <v>35</v>
      </c>
      <c r="E20" s="1">
        <v>52.0</v>
      </c>
      <c r="F20" s="1"/>
      <c r="G20" s="1"/>
      <c r="H20" s="1" t="s">
        <v>18</v>
      </c>
      <c r="I20" s="1" t="s">
        <v>22</v>
      </c>
      <c r="J20" s="4">
        <f>IFERROR(__xludf.DUMMYFUNCTION("IF(D20&lt;&gt;"""", D20,
 IF(C20&lt;&gt;"""", C20*GOOGLEFINANCE(""currency:EURUSD""),
 IF(E20&lt;&gt;"""", E20*GOOGLEFINANCE(""currency:DKKUSD""),
 IF(F20&lt;&gt;"""", F20*GOOGLEFINANCE(""currency:NOKUSD""),
 IF(G20&lt;&gt;"""", G20*GOOGLEFINANCE(""currency:SEKUSD""), """")))))
"),8.1032432)</f>
        <v>8.1032432</v>
      </c>
      <c r="M20" s="4"/>
    </row>
    <row r="21">
      <c r="B21" s="1" t="s">
        <v>36</v>
      </c>
      <c r="F21" s="1">
        <v>70.0</v>
      </c>
      <c r="G21" s="1"/>
      <c r="H21" s="1" t="s">
        <v>18</v>
      </c>
      <c r="I21" s="1" t="s">
        <v>22</v>
      </c>
      <c r="J21" s="4">
        <f>IFERROR(__xludf.DUMMYFUNCTION("IF(D21&lt;&gt;"""", D21,
 IF(C21&lt;&gt;"""", C21*GOOGLEFINANCE(""currency:EURUSD""),
 IF(E21&lt;&gt;"""", E21*GOOGLEFINANCE(""currency:DKKUSD""),
 IF(F21&lt;&gt;"""", F21*GOOGLEFINANCE(""currency:NOKUSD""),
 IF(G21&lt;&gt;"""", G21*GOOGLEFINANCE(""currency:SEKUSD""), """")))))
"),7.549955)</f>
        <v>7.549955</v>
      </c>
      <c r="M21" s="4"/>
    </row>
    <row r="22">
      <c r="B22" s="1" t="s">
        <v>37</v>
      </c>
      <c r="F22" s="1">
        <v>46.0</v>
      </c>
      <c r="G22" s="1"/>
      <c r="H22" s="1" t="s">
        <v>18</v>
      </c>
      <c r="I22" s="1" t="s">
        <v>13</v>
      </c>
      <c r="J22" s="4">
        <f>IFERROR(__xludf.DUMMYFUNCTION("IF(D22&lt;&gt;"""", D22,
 IF(C22&lt;&gt;"""", C22*GOOGLEFINANCE(""currency:EURUSD""),
 IF(E22&lt;&gt;"""", E22*GOOGLEFINANCE(""currency:DKKUSD""),
 IF(F22&lt;&gt;"""", F22*GOOGLEFINANCE(""currency:NOKUSD""),
 IF(G22&lt;&gt;"""", G22*GOOGLEFINANCE(""currency:SEKUSD""), """")))))
"),4.961399)</f>
        <v>4.961399</v>
      </c>
      <c r="M22" s="4"/>
    </row>
    <row r="23">
      <c r="B23" s="1" t="s">
        <v>38</v>
      </c>
      <c r="F23" s="1">
        <v>118.0</v>
      </c>
      <c r="G23" s="1"/>
      <c r="H23" s="1" t="s">
        <v>18</v>
      </c>
      <c r="I23" s="1" t="s">
        <v>22</v>
      </c>
      <c r="J23" s="4">
        <f>IFERROR(__xludf.DUMMYFUNCTION("IF(D23&lt;&gt;"""", D23,
 IF(C23&lt;&gt;"""", C23*GOOGLEFINANCE(""currency:EURUSD""),
 IF(E23&lt;&gt;"""", E23*GOOGLEFINANCE(""currency:DKKUSD""),
 IF(F23&lt;&gt;"""", F23*GOOGLEFINANCE(""currency:NOKUSD""),
 IF(G23&lt;&gt;"""", G23*GOOGLEFINANCE(""currency:SEKUSD""), """")))))
"),12.727067)</f>
        <v>12.727067</v>
      </c>
      <c r="M23" s="4"/>
    </row>
    <row r="24">
      <c r="B24" s="1" t="s">
        <v>39</v>
      </c>
      <c r="F24" s="1">
        <v>90.0</v>
      </c>
      <c r="G24" s="1"/>
      <c r="H24" s="1" t="s">
        <v>18</v>
      </c>
      <c r="I24" s="1" t="s">
        <v>22</v>
      </c>
      <c r="J24" s="4">
        <f>IFERROR(__xludf.DUMMYFUNCTION("IF(D24&lt;&gt;"""", D24,
 IF(C24&lt;&gt;"""", C24*GOOGLEFINANCE(""currency:EURUSD""),
 IF(E24&lt;&gt;"""", E24*GOOGLEFINANCE(""currency:DKKUSD""),
 IF(F24&lt;&gt;"""", F24*GOOGLEFINANCE(""currency:NOKUSD""),
 IF(G24&lt;&gt;"""", G24*GOOGLEFINANCE(""currency:SEKUSD""), """")))))
"),9.707085)</f>
        <v>9.707085</v>
      </c>
      <c r="M24" s="4"/>
    </row>
    <row r="25">
      <c r="B25" s="1" t="s">
        <v>40</v>
      </c>
      <c r="F25" s="1">
        <v>675.0</v>
      </c>
      <c r="G25" s="1"/>
      <c r="H25" s="1" t="s">
        <v>18</v>
      </c>
      <c r="I25" s="1" t="s">
        <v>33</v>
      </c>
      <c r="J25" s="4">
        <f>IFERROR(__xludf.DUMMYFUNCTION("IF(D25&lt;&gt;"""", D25,
 IF(C25&lt;&gt;"""", C25*GOOGLEFINANCE(""currency:EURUSD""),
 IF(E25&lt;&gt;"""", E25*GOOGLEFINANCE(""currency:DKKUSD""),
 IF(F25&lt;&gt;"""", F25*GOOGLEFINANCE(""currency:NOKUSD""),
 IF(G25&lt;&gt;"""", G25*GOOGLEFINANCE(""currency:SEKUSD""), """")))))
"),72.80313749999999)</f>
        <v>72.8031375</v>
      </c>
      <c r="M25" s="4"/>
    </row>
    <row r="26">
      <c r="B26" s="1" t="s">
        <v>41</v>
      </c>
      <c r="D26" s="1">
        <v>72.0</v>
      </c>
      <c r="H26" s="1" t="s">
        <v>18</v>
      </c>
      <c r="I26" s="1" t="s">
        <v>42</v>
      </c>
      <c r="J26" s="4">
        <f>IFERROR(__xludf.DUMMYFUNCTION("IF(D26&lt;&gt;"""", D26,
 IF(C26&lt;&gt;"""", C26*GOOGLEFINANCE(""currency:EURUSD""),
 IF(E26&lt;&gt;"""", E26*GOOGLEFINANCE(""currency:DKKUSD""),
 IF(F26&lt;&gt;"""", F26*GOOGLEFINANCE(""currency:NOKUSD""),
 IF(G26&lt;&gt;"""", G26*GOOGLEFINANCE(""currency:SEKUSD""), """")))))
"),72.0)</f>
        <v>72</v>
      </c>
      <c r="M26" s="4"/>
    </row>
    <row r="27">
      <c r="B27" s="1" t="s">
        <v>43</v>
      </c>
      <c r="C27" s="1">
        <v>125.0</v>
      </c>
      <c r="H27" s="1" t="s">
        <v>18</v>
      </c>
      <c r="I27" s="1" t="s">
        <v>42</v>
      </c>
      <c r="J27" s="4">
        <f>IFERROR(__xludf.DUMMYFUNCTION("IF(D27&lt;&gt;"""", D27,
 IF(C27&lt;&gt;"""", C27*GOOGLEFINANCE(""currency:EURUSD""),
 IF(E27&lt;&gt;"""", E27*GOOGLEFINANCE(""currency:DKKUSD""),
 IF(F27&lt;&gt;"""", F27*GOOGLEFINANCE(""currency:NOKUSD""),
 IF(G27&lt;&gt;"""", G27*GOOGLEFINANCE(""currency:SEKUSD""), """")))))
"),145.5775)</f>
        <v>145.5775</v>
      </c>
      <c r="M27" s="4"/>
    </row>
    <row r="28">
      <c r="B28" s="1" t="s">
        <v>44</v>
      </c>
      <c r="F28" s="1">
        <v>46.0</v>
      </c>
      <c r="G28" s="1"/>
      <c r="H28" s="1" t="s">
        <v>18</v>
      </c>
      <c r="I28" s="1" t="s">
        <v>13</v>
      </c>
      <c r="J28" s="4">
        <f>IFERROR(__xludf.DUMMYFUNCTION("IF(D28&lt;&gt;"""", D28,
 IF(C28&lt;&gt;"""", C28*GOOGLEFINANCE(""currency:EURUSD""),
 IF(E28&lt;&gt;"""", E28*GOOGLEFINANCE(""currency:DKKUSD""),
 IF(F28&lt;&gt;"""", F28*GOOGLEFINANCE(""currency:NOKUSD""),
 IF(G28&lt;&gt;"""", G28*GOOGLEFINANCE(""currency:SEKUSD""), """")))))
"),4.961399)</f>
        <v>4.961399</v>
      </c>
      <c r="M28" s="4"/>
    </row>
    <row r="29">
      <c r="B29" s="1" t="s">
        <v>45</v>
      </c>
      <c r="F29" s="1">
        <v>328.0</v>
      </c>
      <c r="G29" s="1"/>
      <c r="H29" s="1" t="s">
        <v>16</v>
      </c>
      <c r="I29" s="1" t="s">
        <v>22</v>
      </c>
      <c r="J29" s="4">
        <f>IFERROR(__xludf.DUMMYFUNCTION("IF(D29&lt;&gt;"""", D29,
 IF(C29&lt;&gt;"""", C29*GOOGLEFINANCE(""currency:EURUSD""),
 IF(E29&lt;&gt;"""", E29*GOOGLEFINANCE(""currency:DKKUSD""),
 IF(F29&lt;&gt;"""", F29*GOOGLEFINANCE(""currency:NOKUSD""),
 IF(G29&lt;&gt;"""", G29*GOOGLEFINANCE(""currency:SEKUSD""), """")))))
"),35.376932)</f>
        <v>35.376932</v>
      </c>
      <c r="M29" s="4"/>
    </row>
    <row r="30">
      <c r="B30" s="1" t="s">
        <v>38</v>
      </c>
      <c r="F30" s="1">
        <v>67.0</v>
      </c>
      <c r="G30" s="1"/>
      <c r="H30" s="1" t="s">
        <v>18</v>
      </c>
      <c r="I30" s="1" t="s">
        <v>22</v>
      </c>
      <c r="J30" s="4">
        <f>IFERROR(__xludf.DUMMYFUNCTION("IF(D30&lt;&gt;"""", D30,
 IF(C30&lt;&gt;"""", C30*GOOGLEFINANCE(""currency:EURUSD""),
 IF(E30&lt;&gt;"""", E30*GOOGLEFINANCE(""currency:DKKUSD""),
 IF(F30&lt;&gt;"""", F30*GOOGLEFINANCE(""currency:NOKUSD""),
 IF(G30&lt;&gt;"""", G30*GOOGLEFINANCE(""currency:SEKUSD""), """")))))
"),7.226385499999999)</f>
        <v>7.2263855</v>
      </c>
      <c r="M30" s="4"/>
    </row>
    <row r="31">
      <c r="B31" s="1" t="s">
        <v>46</v>
      </c>
      <c r="G31" s="1">
        <v>150.0</v>
      </c>
      <c r="H31" s="1" t="s">
        <v>18</v>
      </c>
      <c r="I31" s="1" t="s">
        <v>27</v>
      </c>
      <c r="J31" s="4">
        <f>IFERROR(__xludf.DUMMYFUNCTION("IF(D31&lt;&gt;"""", D31,
 IF(C31&lt;&gt;"""", C31*GOOGLEFINANCE(""currency:EURUSD""),
 IF(E31&lt;&gt;"""", E31*GOOGLEFINANCE(""currency:DKKUSD""),
 IF(F31&lt;&gt;"""", F31*GOOGLEFINANCE(""currency:NOKUSD""),
 IF(G31&lt;&gt;"""", G31*GOOGLEFINANCE(""currency:SEKUSD""), """")))))
"),15.958995)</f>
        <v>15.958995</v>
      </c>
      <c r="M31" s="4"/>
    </row>
    <row r="32">
      <c r="B32" s="1" t="s">
        <v>47</v>
      </c>
      <c r="G32" s="1">
        <v>80.0</v>
      </c>
      <c r="H32" s="1" t="s">
        <v>18</v>
      </c>
      <c r="I32" s="1" t="s">
        <v>48</v>
      </c>
      <c r="J32" s="4">
        <f>IFERROR(__xludf.DUMMYFUNCTION("IF(D32&lt;&gt;"""", D32,
 IF(C32&lt;&gt;"""", C32*GOOGLEFINANCE(""currency:EURUSD""),
 IF(E32&lt;&gt;"""", E32*GOOGLEFINANCE(""currency:DKKUSD""),
 IF(F32&lt;&gt;"""", F32*GOOGLEFINANCE(""currency:NOKUSD""),
 IF(G32&lt;&gt;"""", G32*GOOGLEFINANCE(""currency:SEKUSD""), """")))))
"),8.511464)</f>
        <v>8.511464</v>
      </c>
      <c r="M32" s="4"/>
    </row>
    <row r="33">
      <c r="B33" s="1" t="s">
        <v>49</v>
      </c>
      <c r="H33" s="1" t="s">
        <v>18</v>
      </c>
      <c r="I33" s="1" t="s">
        <v>48</v>
      </c>
      <c r="J33" s="4" t="str">
        <f>IFERROR(__xludf.DUMMYFUNCTION("IF(D33&lt;&gt;"""", D33,
 IF(C33&lt;&gt;"""", C33*GOOGLEFINANCE(""currency:EURUSD""),
 IF(E33&lt;&gt;"""", E33*GOOGLEFINANCE(""currency:DKKUSD""),
 IF(F33&lt;&gt;"""", F33*GOOGLEFINANCE(""currency:NOKUSD""),
 IF(G33&lt;&gt;"""", G33*GOOGLEFINANCE(""currency:SEKUSD""), """")))))
"),"")</f>
        <v/>
      </c>
      <c r="M33" s="4"/>
    </row>
    <row r="34">
      <c r="B34" s="1" t="s">
        <v>50</v>
      </c>
      <c r="G34" s="1">
        <v>200.0</v>
      </c>
      <c r="H34" s="1" t="s">
        <v>18</v>
      </c>
      <c r="I34" s="1" t="s">
        <v>27</v>
      </c>
      <c r="J34" s="4">
        <f>IFERROR(__xludf.DUMMYFUNCTION("IF(D34&lt;&gt;"""", D34,
 IF(C34&lt;&gt;"""", C34*GOOGLEFINANCE(""currency:EURUSD""),
 IF(E34&lt;&gt;"""", E34*GOOGLEFINANCE(""currency:DKKUSD""),
 IF(F34&lt;&gt;"""", F34*GOOGLEFINANCE(""currency:NOKUSD""),
 IF(G34&lt;&gt;"""", G34*GOOGLEFINANCE(""currency:SEKUSD""), """")))))
"),21.27866)</f>
        <v>21.27866</v>
      </c>
      <c r="M34" s="4"/>
    </row>
    <row r="35">
      <c r="B35" s="1" t="s">
        <v>51</v>
      </c>
      <c r="G35" s="1">
        <v>80.0</v>
      </c>
      <c r="H35" s="1" t="s">
        <v>18</v>
      </c>
      <c r="I35" s="1" t="s">
        <v>48</v>
      </c>
      <c r="J35" s="4">
        <f>IFERROR(__xludf.DUMMYFUNCTION("IF(D35&lt;&gt;"""", D35,
 IF(C35&lt;&gt;"""", C35*GOOGLEFINANCE(""currency:EURUSD""),
 IF(E35&lt;&gt;"""", E35*GOOGLEFINANCE(""currency:DKKUSD""),
 IF(F35&lt;&gt;"""", F35*GOOGLEFINANCE(""currency:NOKUSD""),
 IF(G35&lt;&gt;"""", G35*GOOGLEFINANCE(""currency:SEKUSD""), """")))))
"),8.511464)</f>
        <v>8.511464</v>
      </c>
      <c r="M35" s="4"/>
    </row>
    <row r="36">
      <c r="B36" s="1" t="s">
        <v>52</v>
      </c>
      <c r="G36" s="1">
        <v>165.0</v>
      </c>
      <c r="H36" s="1" t="s">
        <v>18</v>
      </c>
      <c r="I36" s="1" t="s">
        <v>27</v>
      </c>
      <c r="J36" s="4">
        <f>IFERROR(__xludf.DUMMYFUNCTION("IF(D36&lt;&gt;"""", D36,
 IF(C36&lt;&gt;"""", C36*GOOGLEFINANCE(""currency:EURUSD""),
 IF(E36&lt;&gt;"""", E36*GOOGLEFINANCE(""currency:DKKUSD""),
 IF(F36&lt;&gt;"""", F36*GOOGLEFINANCE(""currency:NOKUSD""),
 IF(G36&lt;&gt;"""", G36*GOOGLEFINANCE(""currency:SEKUSD""), """")))))
"),17.5548945)</f>
        <v>17.5548945</v>
      </c>
      <c r="M36" s="4"/>
    </row>
    <row r="37">
      <c r="B37" s="1" t="s">
        <v>53</v>
      </c>
      <c r="G37" s="1">
        <v>150.0</v>
      </c>
      <c r="H37" s="1" t="s">
        <v>18</v>
      </c>
      <c r="I37" s="1" t="s">
        <v>22</v>
      </c>
      <c r="J37" s="4">
        <f>IFERROR(__xludf.DUMMYFUNCTION("IF(D37&lt;&gt;"""", D37,
 IF(C37&lt;&gt;"""", C37*GOOGLEFINANCE(""currency:EURUSD""),
 IF(E37&lt;&gt;"""", E37*GOOGLEFINANCE(""currency:DKKUSD""),
 IF(F37&lt;&gt;"""", F37*GOOGLEFINANCE(""currency:NOKUSD""),
 IF(G37&lt;&gt;"""", G37*GOOGLEFINANCE(""currency:SEKUSD""), """")))))
"),15.958995)</f>
        <v>15.958995</v>
      </c>
      <c r="M37" s="4"/>
    </row>
    <row r="38">
      <c r="B38" s="1" t="s">
        <v>54</v>
      </c>
      <c r="G38" s="1">
        <v>65.0</v>
      </c>
      <c r="H38" s="1" t="s">
        <v>18</v>
      </c>
      <c r="I38" s="1" t="s">
        <v>48</v>
      </c>
      <c r="J38" s="4">
        <f>IFERROR(__xludf.DUMMYFUNCTION("IF(D38&lt;&gt;"""", D38,
 IF(C38&lt;&gt;"""", C38*GOOGLEFINANCE(""currency:EURUSD""),
 IF(E38&lt;&gt;"""", E38*GOOGLEFINANCE(""currency:DKKUSD""),
 IF(F38&lt;&gt;"""", F38*GOOGLEFINANCE(""currency:NOKUSD""),
 IF(G38&lt;&gt;"""", G38*GOOGLEFINANCE(""currency:SEKUSD""), """")))))
"),6.9155644999999994)</f>
        <v>6.9155645</v>
      </c>
      <c r="M38" s="4"/>
    </row>
    <row r="39">
      <c r="B39" s="1" t="s">
        <v>37</v>
      </c>
      <c r="G39" s="1">
        <v>75.0</v>
      </c>
      <c r="H39" s="1" t="s">
        <v>18</v>
      </c>
      <c r="I39" s="1" t="s">
        <v>13</v>
      </c>
      <c r="J39" s="4">
        <f>IFERROR(__xludf.DUMMYFUNCTION("IF(D39&lt;&gt;"""", D39,
 IF(C39&lt;&gt;"""", C39*GOOGLEFINANCE(""currency:EURUSD""),
 IF(E39&lt;&gt;"""", E39*GOOGLEFINANCE(""currency:DKKUSD""),
 IF(F39&lt;&gt;"""", F39*GOOGLEFINANCE(""currency:NOKUSD""),
 IF(G39&lt;&gt;"""", G39*GOOGLEFINANCE(""currency:SEKUSD""), """")))))
"),7.9794975)</f>
        <v>7.9794975</v>
      </c>
      <c r="M39" s="4"/>
    </row>
    <row r="40">
      <c r="B40" s="1" t="s">
        <v>55</v>
      </c>
      <c r="G40" s="1">
        <v>70.0</v>
      </c>
      <c r="H40" s="1" t="s">
        <v>18</v>
      </c>
      <c r="I40" s="1" t="s">
        <v>22</v>
      </c>
      <c r="J40" s="4">
        <f>IFERROR(__xludf.DUMMYFUNCTION("IF(D40&lt;&gt;"""", D40,
 IF(C40&lt;&gt;"""", C40*GOOGLEFINANCE(""currency:EURUSD""),
 IF(E40&lt;&gt;"""", E40*GOOGLEFINANCE(""currency:DKKUSD""),
 IF(F40&lt;&gt;"""", F40*GOOGLEFINANCE(""currency:NOKUSD""),
 IF(G40&lt;&gt;"""", G40*GOOGLEFINANCE(""currency:SEKUSD""), """")))))
"),7.447531)</f>
        <v>7.447531</v>
      </c>
      <c r="M40" s="4"/>
    </row>
    <row r="41">
      <c r="B41" s="1" t="s">
        <v>56</v>
      </c>
      <c r="G41" s="1">
        <v>160.0</v>
      </c>
      <c r="H41" s="1" t="s">
        <v>18</v>
      </c>
      <c r="I41" s="1" t="s">
        <v>27</v>
      </c>
      <c r="J41" s="4">
        <f>IFERROR(__xludf.DUMMYFUNCTION("IF(D41&lt;&gt;"""", D41,
 IF(C41&lt;&gt;"""", C41*GOOGLEFINANCE(""currency:EURUSD""),
 IF(E41&lt;&gt;"""", E41*GOOGLEFINANCE(""currency:DKKUSD""),
 IF(F41&lt;&gt;"""", F41*GOOGLEFINANCE(""currency:NOKUSD""),
 IF(G41&lt;&gt;"""", G41*GOOGLEFINANCE(""currency:SEKUSD""), """")))))
"),17.022928)</f>
        <v>17.022928</v>
      </c>
      <c r="M41" s="4"/>
    </row>
    <row r="42">
      <c r="B42" s="1" t="s">
        <v>57</v>
      </c>
      <c r="G42" s="1">
        <v>197.0</v>
      </c>
      <c r="H42" s="1" t="s">
        <v>18</v>
      </c>
      <c r="I42" s="1" t="s">
        <v>22</v>
      </c>
      <c r="J42" s="4">
        <f>IFERROR(__xludf.DUMMYFUNCTION("IF(D42&lt;&gt;"""", D42,
 IF(C42&lt;&gt;"""", C42*GOOGLEFINANCE(""currency:EURUSD""),
 IF(E42&lt;&gt;"""", E42*GOOGLEFINANCE(""currency:DKKUSD""),
 IF(F42&lt;&gt;"""", F42*GOOGLEFINANCE(""currency:NOKUSD""),
 IF(G42&lt;&gt;"""", G42*GOOGLEFINANCE(""currency:SEKUSD""), """")))))
"),20.9594801)</f>
        <v>20.9594801</v>
      </c>
      <c r="M42" s="4"/>
    </row>
    <row r="43">
      <c r="B43" s="1" t="s">
        <v>58</v>
      </c>
      <c r="G43" s="1">
        <v>150.0</v>
      </c>
      <c r="H43" s="1" t="s">
        <v>18</v>
      </c>
      <c r="I43" s="1" t="s">
        <v>27</v>
      </c>
      <c r="J43" s="4">
        <f>IFERROR(__xludf.DUMMYFUNCTION("IF(D43&lt;&gt;"""", D43,
 IF(C43&lt;&gt;"""", C43*GOOGLEFINANCE(""currency:EURUSD""),
 IF(E43&lt;&gt;"""", E43*GOOGLEFINANCE(""currency:DKKUSD""),
 IF(F43&lt;&gt;"""", F43*GOOGLEFINANCE(""currency:NOKUSD""),
 IF(G43&lt;&gt;"""", G43*GOOGLEFINANCE(""currency:SEKUSD""), """")))))
"),15.958995)</f>
        <v>15.958995</v>
      </c>
      <c r="M43" s="4"/>
    </row>
    <row r="44">
      <c r="B44" s="1" t="s">
        <v>59</v>
      </c>
      <c r="G44" s="1">
        <v>48.0</v>
      </c>
      <c r="H44" s="1" t="s">
        <v>18</v>
      </c>
      <c r="I44" s="1" t="s">
        <v>13</v>
      </c>
      <c r="J44" s="4">
        <f>IFERROR(__xludf.DUMMYFUNCTION("IF(D44&lt;&gt;"""", D44,
 IF(C44&lt;&gt;"""", C44*GOOGLEFINANCE(""currency:EURUSD""),
 IF(E44&lt;&gt;"""", E44*GOOGLEFINANCE(""currency:DKKUSD""),
 IF(F44&lt;&gt;"""", F44*GOOGLEFINANCE(""currency:NOKUSD""),
 IF(G44&lt;&gt;"""", G44*GOOGLEFINANCE(""currency:SEKUSD""), """")))))
"),5.106878399999999)</f>
        <v>5.1068784</v>
      </c>
      <c r="M44" s="4"/>
    </row>
    <row r="45">
      <c r="B45" s="1" t="s">
        <v>60</v>
      </c>
      <c r="G45" s="1">
        <v>309.0</v>
      </c>
      <c r="H45" s="1" t="s">
        <v>18</v>
      </c>
      <c r="I45" s="1" t="s">
        <v>22</v>
      </c>
      <c r="J45" s="4">
        <f>IFERROR(__xludf.DUMMYFUNCTION("IF(D45&lt;&gt;"""", D45,
 IF(C45&lt;&gt;"""", C45*GOOGLEFINANCE(""currency:EURUSD""),
 IF(E45&lt;&gt;"""", E45*GOOGLEFINANCE(""currency:DKKUSD""),
 IF(F45&lt;&gt;"""", F45*GOOGLEFINANCE(""currency:NOKUSD""),
 IF(G45&lt;&gt;"""", G45*GOOGLEFINANCE(""currency:SEKUSD""), """")))))
"),32.8755297)</f>
        <v>32.8755297</v>
      </c>
      <c r="M45" s="4"/>
    </row>
    <row r="46">
      <c r="B46" s="1" t="s">
        <v>61</v>
      </c>
      <c r="D46" s="1">
        <v>25.0</v>
      </c>
      <c r="H46" s="1" t="s">
        <v>18</v>
      </c>
      <c r="I46" s="1" t="s">
        <v>42</v>
      </c>
      <c r="J46" s="4">
        <f>IFERROR(__xludf.DUMMYFUNCTION("IF(D46&lt;&gt;"""", D46,
 IF(C46&lt;&gt;"""", C46*GOOGLEFINANCE(""currency:EURUSD""),
 IF(E46&lt;&gt;"""", E46*GOOGLEFINANCE(""currency:DKKUSD""),
 IF(F46&lt;&gt;"""", F46*GOOGLEFINANCE(""currency:NOKUSD""),
 IF(G46&lt;&gt;"""", G46*GOOGLEFINANCE(""currency:SEKUSD""), """")))))
"),25.0)</f>
        <v>25</v>
      </c>
      <c r="M46" s="4"/>
    </row>
    <row r="47">
      <c r="B47" s="1" t="s">
        <v>62</v>
      </c>
      <c r="G47" s="1">
        <v>115.0</v>
      </c>
      <c r="H47" s="1" t="s">
        <v>18</v>
      </c>
      <c r="I47" s="1" t="s">
        <v>22</v>
      </c>
      <c r="J47" s="4">
        <f>IFERROR(__xludf.DUMMYFUNCTION("IF(D47&lt;&gt;"""", D47,
 IF(C47&lt;&gt;"""", C47*GOOGLEFINANCE(""currency:EURUSD""),
 IF(E47&lt;&gt;"""", E47*GOOGLEFINANCE(""currency:DKKUSD""),
 IF(F47&lt;&gt;"""", F47*GOOGLEFINANCE(""currency:NOKUSD""),
 IF(G47&lt;&gt;"""", G47*GOOGLEFINANCE(""currency:SEKUSD""), """")))))
"),12.235229499999999)</f>
        <v>12.2352295</v>
      </c>
      <c r="M47" s="4"/>
    </row>
    <row r="48">
      <c r="B48" s="1" t="s">
        <v>63</v>
      </c>
      <c r="G48" s="1">
        <v>96.0</v>
      </c>
      <c r="H48" s="1" t="s">
        <v>18</v>
      </c>
      <c r="I48" s="1" t="s">
        <v>13</v>
      </c>
      <c r="J48" s="4">
        <f>IFERROR(__xludf.DUMMYFUNCTION("IF(D48&lt;&gt;"""", D48,
 IF(C48&lt;&gt;"""", C48*GOOGLEFINANCE(""currency:EURUSD""),
 IF(E48&lt;&gt;"""", E48*GOOGLEFINANCE(""currency:DKKUSD""),
 IF(F48&lt;&gt;"""", F48*GOOGLEFINANCE(""currency:NOKUSD""),
 IF(G48&lt;&gt;"""", G48*GOOGLEFINANCE(""currency:SEKUSD""), """")))))
"),10.213756799999999)</f>
        <v>10.2137568</v>
      </c>
      <c r="M48" s="4"/>
    </row>
    <row r="49">
      <c r="B49" s="1" t="s">
        <v>64</v>
      </c>
      <c r="G49" s="1">
        <v>55.0</v>
      </c>
      <c r="H49" s="1" t="s">
        <v>18</v>
      </c>
      <c r="I49" s="1" t="s">
        <v>22</v>
      </c>
      <c r="J49" s="4">
        <f>IFERROR(__xludf.DUMMYFUNCTION("IF(D49&lt;&gt;"""", D49,
 IF(C49&lt;&gt;"""", C49*GOOGLEFINANCE(""currency:EURUSD""),
 IF(E49&lt;&gt;"""", E49*GOOGLEFINANCE(""currency:DKKUSD""),
 IF(F49&lt;&gt;"""", F49*GOOGLEFINANCE(""currency:NOKUSD""),
 IF(G49&lt;&gt;"""", G49*GOOGLEFINANCE(""currency:SEKUSD""), """")))))
"),5.8516315)</f>
        <v>5.8516315</v>
      </c>
      <c r="M49" s="4"/>
    </row>
    <row r="50">
      <c r="B50" s="1" t="s">
        <v>65</v>
      </c>
      <c r="G50" s="1">
        <v>225.0</v>
      </c>
      <c r="H50" s="1" t="s">
        <v>18</v>
      </c>
      <c r="I50" s="1" t="s">
        <v>22</v>
      </c>
      <c r="J50" s="4">
        <f>IFERROR(__xludf.DUMMYFUNCTION("IF(D50&lt;&gt;"""", D50,
 IF(C50&lt;&gt;"""", C50*GOOGLEFINANCE(""currency:EURUSD""),
 IF(E50&lt;&gt;"""", E50*GOOGLEFINANCE(""currency:DKKUSD""),
 IF(F50&lt;&gt;"""", F50*GOOGLEFINANCE(""currency:NOKUSD""),
 IF(G50&lt;&gt;"""", G50*GOOGLEFINANCE(""currency:SEKUSD""), """")))))
"),23.9384925)</f>
        <v>23.9384925</v>
      </c>
      <c r="M50" s="4"/>
    </row>
    <row r="51">
      <c r="B51" s="1" t="s">
        <v>66</v>
      </c>
      <c r="D51" s="1">
        <v>23.0</v>
      </c>
      <c r="H51" s="1" t="s">
        <v>18</v>
      </c>
      <c r="I51" s="1" t="s">
        <v>13</v>
      </c>
      <c r="J51" s="4">
        <f>IFERROR(__xludf.DUMMYFUNCTION("IF(D51&lt;&gt;"""", D51,
 IF(C51&lt;&gt;"""", C51*GOOGLEFINANCE(""currency:EURUSD""),
 IF(E51&lt;&gt;"""", E51*GOOGLEFINANCE(""currency:DKKUSD""),
 IF(F51&lt;&gt;"""", F51*GOOGLEFINANCE(""currency:NOKUSD""),
 IF(G51&lt;&gt;"""", G51*GOOGLEFINANCE(""currency:SEKUSD""), """")))))
"),23.0)</f>
        <v>23</v>
      </c>
      <c r="M51" s="4"/>
    </row>
    <row r="52">
      <c r="B52" s="1" t="s">
        <v>67</v>
      </c>
      <c r="D52" s="1">
        <v>30.0</v>
      </c>
      <c r="H52" s="1" t="s">
        <v>18</v>
      </c>
      <c r="I52" s="1" t="s">
        <v>22</v>
      </c>
      <c r="J52" s="4">
        <f>IFERROR(__xludf.DUMMYFUNCTION("IF(D52&lt;&gt;"""", D52,
 IF(C52&lt;&gt;"""", C52*GOOGLEFINANCE(""currency:EURUSD""),
 IF(E52&lt;&gt;"""", E52*GOOGLEFINANCE(""currency:DKKUSD""),
 IF(F52&lt;&gt;"""", F52*GOOGLEFINANCE(""currency:NOKUSD""),
 IF(G52&lt;&gt;"""", G52*GOOGLEFINANCE(""currency:SEKUSD""), """")))))
"),30.0)</f>
        <v>30</v>
      </c>
      <c r="M52" s="4"/>
    </row>
    <row r="53">
      <c r="B53" s="1" t="s">
        <v>68</v>
      </c>
      <c r="D53" s="1">
        <v>72.0</v>
      </c>
      <c r="H53" s="1" t="s">
        <v>18</v>
      </c>
      <c r="I53" s="1" t="s">
        <v>42</v>
      </c>
      <c r="J53" s="4">
        <f>IFERROR(__xludf.DUMMYFUNCTION("IF(D53&lt;&gt;"""", D53,
 IF(C53&lt;&gt;"""", C53*GOOGLEFINANCE(""currency:EURUSD""),
 IF(E53&lt;&gt;"""", E53*GOOGLEFINANCE(""currency:DKKUSD""),
 IF(F53&lt;&gt;"""", F53*GOOGLEFINANCE(""currency:NOKUSD""),
 IF(G53&lt;&gt;"""", G53*GOOGLEFINANCE(""currency:SEKUSD""), """")))))
"),72.0)</f>
        <v>72</v>
      </c>
      <c r="M53" s="4"/>
    </row>
    <row r="54">
      <c r="B54" s="1" t="s">
        <v>69</v>
      </c>
      <c r="C54" s="1">
        <v>20.0</v>
      </c>
      <c r="H54" s="1" t="s">
        <v>18</v>
      </c>
      <c r="I54" s="1" t="s">
        <v>22</v>
      </c>
      <c r="J54" s="4">
        <f>IFERROR(__xludf.DUMMYFUNCTION("IF(D54&lt;&gt;"""", D54,
 IF(C54&lt;&gt;"""", C54*GOOGLEFINANCE(""currency:EURUSD""),
 IF(E54&lt;&gt;"""", E54*GOOGLEFINANCE(""currency:DKKUSD""),
 IF(F54&lt;&gt;"""", F54*GOOGLEFINANCE(""currency:NOKUSD""),
 IF(G54&lt;&gt;"""", G54*GOOGLEFINANCE(""currency:SEKUSD""), """")))))
"),23.2924)</f>
        <v>23.2924</v>
      </c>
      <c r="M54" s="4"/>
    </row>
    <row r="55">
      <c r="B55" s="1" t="s">
        <v>70</v>
      </c>
      <c r="C55" s="1">
        <v>13.0</v>
      </c>
      <c r="H55" s="1" t="s">
        <v>18</v>
      </c>
      <c r="I55" s="1" t="s">
        <v>22</v>
      </c>
      <c r="J55" s="4">
        <f>IFERROR(__xludf.DUMMYFUNCTION("IF(D55&lt;&gt;"""", D55,
 IF(C55&lt;&gt;"""", C55*GOOGLEFINANCE(""currency:EURUSD""),
 IF(E55&lt;&gt;"""", E55*GOOGLEFINANCE(""currency:DKKUSD""),
 IF(F55&lt;&gt;"""", F55*GOOGLEFINANCE(""currency:NOKUSD""),
 IF(G55&lt;&gt;"""", G55*GOOGLEFINANCE(""currency:SEKUSD""), """")))))
"),15.14006)</f>
        <v>15.14006</v>
      </c>
      <c r="M55" s="4"/>
    </row>
    <row r="56">
      <c r="B56" s="1" t="s">
        <v>71</v>
      </c>
      <c r="C56" s="1">
        <v>16.1</v>
      </c>
      <c r="H56" s="1" t="s">
        <v>18</v>
      </c>
      <c r="I56" s="1" t="s">
        <v>22</v>
      </c>
      <c r="J56" s="4">
        <f>IFERROR(__xludf.DUMMYFUNCTION("IF(D56&lt;&gt;"""", D56,
 IF(C56&lt;&gt;"""", C56*GOOGLEFINANCE(""currency:EURUSD""),
 IF(E56&lt;&gt;"""", E56*GOOGLEFINANCE(""currency:DKKUSD""),
 IF(F56&lt;&gt;"""", F56*GOOGLEFINANCE(""currency:NOKUSD""),
 IF(G56&lt;&gt;"""", G56*GOOGLEFINANCE(""currency:SEKUSD""), """")))))
"),18.750382000000002)</f>
        <v>18.750382</v>
      </c>
      <c r="M56" s="4"/>
    </row>
    <row r="57">
      <c r="B57" s="1" t="s">
        <v>72</v>
      </c>
      <c r="C57" s="1">
        <v>12.0</v>
      </c>
      <c r="H57" s="1" t="s">
        <v>18</v>
      </c>
      <c r="I57" s="1" t="s">
        <v>22</v>
      </c>
      <c r="J57" s="4">
        <f>IFERROR(__xludf.DUMMYFUNCTION("IF(D57&lt;&gt;"""", D57,
 IF(C57&lt;&gt;"""", C57*GOOGLEFINANCE(""currency:EURUSD""),
 IF(E57&lt;&gt;"""", E57*GOOGLEFINANCE(""currency:DKKUSD""),
 IF(F57&lt;&gt;"""", F57*GOOGLEFINANCE(""currency:NOKUSD""),
 IF(G57&lt;&gt;"""", G57*GOOGLEFINANCE(""currency:SEKUSD""), """")))))
"),13.975439999999999)</f>
        <v>13.97544</v>
      </c>
      <c r="M57" s="4"/>
    </row>
    <row r="58">
      <c r="B58" s="1" t="s">
        <v>73</v>
      </c>
      <c r="J58" s="4" t="str">
        <f>IFERROR(__xludf.DUMMYFUNCTION("IF(D58&lt;&gt;"""", D58,
 IF(C58&lt;&gt;"""", C58*GOOGLEFINANCE(""currency:EURUSD""),
 IF(E58&lt;&gt;"""", E58*GOOGLEFINANCE(""currency:DKKUSD""),
 IF(F58&lt;&gt;"""", F58*GOOGLEFINANCE(""currency:NOKUSD""),
 IF(G58&lt;&gt;"""", G58*GOOGLEFINANCE(""currency:SEKUSD""), """")))))
"),"")</f>
        <v/>
      </c>
      <c r="M58" s="4"/>
    </row>
    <row r="59">
      <c r="B59" s="1" t="s">
        <v>74</v>
      </c>
      <c r="C59" s="1">
        <v>20.0</v>
      </c>
      <c r="H59" s="1" t="s">
        <v>18</v>
      </c>
      <c r="I59" s="1" t="s">
        <v>42</v>
      </c>
      <c r="J59" s="4">
        <f>IFERROR(__xludf.DUMMYFUNCTION("IF(D59&lt;&gt;"""", D59,
 IF(C59&lt;&gt;"""", C59*GOOGLEFINANCE(""currency:EURUSD""),
 IF(E59&lt;&gt;"""", E59*GOOGLEFINANCE(""currency:DKKUSD""),
 IF(F59&lt;&gt;"""", F59*GOOGLEFINANCE(""currency:NOKUSD""),
 IF(G59&lt;&gt;"""", G59*GOOGLEFINANCE(""currency:SEKUSD""), """")))))
"),23.2924)</f>
        <v>23.2924</v>
      </c>
      <c r="M59" s="4"/>
    </row>
    <row r="60">
      <c r="B60" s="1" t="s">
        <v>75</v>
      </c>
      <c r="C60" s="1">
        <v>7.14</v>
      </c>
      <c r="H60" s="1" t="s">
        <v>18</v>
      </c>
      <c r="I60" s="1" t="s">
        <v>22</v>
      </c>
      <c r="J60" s="4">
        <f>IFERROR(__xludf.DUMMYFUNCTION("IF(D60&lt;&gt;"""", D60,
 IF(C60&lt;&gt;"""", C60*GOOGLEFINANCE(""currency:EURUSD""),
 IF(E60&lt;&gt;"""", E60*GOOGLEFINANCE(""currency:DKKUSD""),
 IF(F60&lt;&gt;"""", F60*GOOGLEFINANCE(""currency:NOKUSD""),
 IF(G60&lt;&gt;"""", G60*GOOGLEFINANCE(""currency:SEKUSD""), """")))))
"),8.315386799999999)</f>
        <v>8.3153868</v>
      </c>
      <c r="M60" s="4"/>
    </row>
    <row r="61">
      <c r="B61" s="1" t="s">
        <v>76</v>
      </c>
      <c r="C61" s="1">
        <v>3.5</v>
      </c>
      <c r="H61" s="1" t="s">
        <v>18</v>
      </c>
      <c r="I61" s="1" t="s">
        <v>13</v>
      </c>
      <c r="J61" s="4">
        <f>IFERROR(__xludf.DUMMYFUNCTION("IF(D61&lt;&gt;"""", D61,
 IF(C61&lt;&gt;"""", C61*GOOGLEFINANCE(""currency:EURUSD""),
 IF(E61&lt;&gt;"""", E61*GOOGLEFINANCE(""currency:DKKUSD""),
 IF(F61&lt;&gt;"""", F61*GOOGLEFINANCE(""currency:NOKUSD""),
 IF(G61&lt;&gt;"""", G61*GOOGLEFINANCE(""currency:SEKUSD""), """")))))
"),4.07617)</f>
        <v>4.07617</v>
      </c>
      <c r="M61" s="4"/>
    </row>
    <row r="62">
      <c r="B62" s="1" t="s">
        <v>77</v>
      </c>
      <c r="C62" s="1">
        <v>8.31</v>
      </c>
      <c r="H62" s="1" t="s">
        <v>18</v>
      </c>
      <c r="I62" s="1" t="s">
        <v>48</v>
      </c>
      <c r="J62" s="4">
        <f>IFERROR(__xludf.DUMMYFUNCTION("IF(D62&lt;&gt;"""", D62,
 IF(C62&lt;&gt;"""", C62*GOOGLEFINANCE(""currency:EURUSD""),
 IF(E62&lt;&gt;"""", E62*GOOGLEFINANCE(""currency:DKKUSD""),
 IF(F62&lt;&gt;"""", F62*GOOGLEFINANCE(""currency:NOKUSD""),
 IF(G62&lt;&gt;"""", G62*GOOGLEFINANCE(""currency:SEKUSD""), """")))))
"),9.6779922)</f>
        <v>9.6779922</v>
      </c>
      <c r="M62" s="4"/>
    </row>
    <row r="63">
      <c r="B63" s="1" t="s">
        <v>36</v>
      </c>
      <c r="C63" s="1">
        <v>2.5</v>
      </c>
      <c r="H63" s="1" t="s">
        <v>18</v>
      </c>
      <c r="I63" s="1" t="s">
        <v>22</v>
      </c>
      <c r="J63" s="4">
        <f>IFERROR(__xludf.DUMMYFUNCTION("IF(D63&lt;&gt;"""", D63,
 IF(C63&lt;&gt;"""", C63*GOOGLEFINANCE(""currency:EURUSD""),
 IF(E63&lt;&gt;"""", E63*GOOGLEFINANCE(""currency:DKKUSD""),
 IF(F63&lt;&gt;"""", F63*GOOGLEFINANCE(""currency:NOKUSD""),
 IF(G63&lt;&gt;"""", G63*GOOGLEFINANCE(""currency:SEKUSD""), """")))))
"),2.91155)</f>
        <v>2.91155</v>
      </c>
      <c r="M63" s="4"/>
    </row>
    <row r="64">
      <c r="B64" s="1" t="s">
        <v>78</v>
      </c>
      <c r="C64" s="1">
        <v>12.0</v>
      </c>
      <c r="H64" s="1" t="s">
        <v>18</v>
      </c>
      <c r="I64" s="1" t="s">
        <v>27</v>
      </c>
      <c r="J64" s="4">
        <f>IFERROR(__xludf.DUMMYFUNCTION("IF(D64&lt;&gt;"""", D64,
 IF(C64&lt;&gt;"""", C64*GOOGLEFINANCE(""currency:EURUSD""),
 IF(E64&lt;&gt;"""", E64*GOOGLEFINANCE(""currency:DKKUSD""),
 IF(F64&lt;&gt;"""", F64*GOOGLEFINANCE(""currency:NOKUSD""),
 IF(G64&lt;&gt;"""", G64*GOOGLEFINANCE(""currency:SEKUSD""), """")))))
"),13.975439999999999)</f>
        <v>13.97544</v>
      </c>
      <c r="M64" s="4"/>
    </row>
    <row r="65">
      <c r="B65" s="1" t="s">
        <v>79</v>
      </c>
      <c r="C65" s="1">
        <v>12.0</v>
      </c>
      <c r="H65" s="1" t="s">
        <v>18</v>
      </c>
      <c r="I65" s="1" t="s">
        <v>48</v>
      </c>
      <c r="J65" s="4">
        <f>IFERROR(__xludf.DUMMYFUNCTION("IF(D65&lt;&gt;"""", D65,
 IF(C65&lt;&gt;"""", C65*GOOGLEFINANCE(""currency:EURUSD""),
 IF(E65&lt;&gt;"""", E65*GOOGLEFINANCE(""currency:DKKUSD""),
 IF(F65&lt;&gt;"""", F65*GOOGLEFINANCE(""currency:NOKUSD""),
 IF(G65&lt;&gt;"""", G65*GOOGLEFINANCE(""currency:SEKUSD""), """")))))
"),13.975439999999999)</f>
        <v>13.97544</v>
      </c>
      <c r="M65" s="4"/>
    </row>
    <row r="66">
      <c r="B66" s="1" t="s">
        <v>38</v>
      </c>
      <c r="C66" s="1">
        <v>12.47</v>
      </c>
      <c r="H66" s="1" t="s">
        <v>18</v>
      </c>
      <c r="I66" s="1" t="s">
        <v>22</v>
      </c>
      <c r="J66" s="4">
        <f>IFERROR(__xludf.DUMMYFUNCTION("IF(D66&lt;&gt;"""", D66,
 IF(C66&lt;&gt;"""", C66*GOOGLEFINANCE(""currency:EURUSD""),
 IF(E66&lt;&gt;"""", E66*GOOGLEFINANCE(""currency:DKKUSD""),
 IF(F66&lt;&gt;"""", F66*GOOGLEFINANCE(""currency:NOKUSD""),
 IF(G66&lt;&gt;"""", G66*GOOGLEFINANCE(""currency:SEKUSD""), """")))))
"),14.5228114)</f>
        <v>14.5228114</v>
      </c>
      <c r="M66" s="4"/>
    </row>
    <row r="67">
      <c r="B67" s="1" t="s">
        <v>65</v>
      </c>
      <c r="C67" s="1">
        <v>2.95</v>
      </c>
      <c r="H67" s="1" t="s">
        <v>80</v>
      </c>
      <c r="I67" s="1" t="s">
        <v>22</v>
      </c>
      <c r="J67" s="4">
        <f>IFERROR(__xludf.DUMMYFUNCTION("IF(D67&lt;&gt;"""", D67,
 IF(C67&lt;&gt;"""", C67*GOOGLEFINANCE(""currency:EURUSD""),
 IF(E67&lt;&gt;"""", E67*GOOGLEFINANCE(""currency:DKKUSD""),
 IF(F67&lt;&gt;"""", F67*GOOGLEFINANCE(""currency:NOKUSD""),
 IF(G67&lt;&gt;"""", G67*GOOGLEFINANCE(""currency:SEKUSD""), """")))))
"),3.435629)</f>
        <v>3.435629</v>
      </c>
      <c r="M67" s="4"/>
    </row>
    <row r="68">
      <c r="B68" s="1" t="s">
        <v>81</v>
      </c>
      <c r="C68" s="1">
        <v>2.02</v>
      </c>
      <c r="H68" s="1" t="s">
        <v>18</v>
      </c>
      <c r="I68" s="1" t="s">
        <v>22</v>
      </c>
      <c r="J68" s="4">
        <f>IFERROR(__xludf.DUMMYFUNCTION("IF(D68&lt;&gt;"""", D68,
 IF(C68&lt;&gt;"""", C68*GOOGLEFINANCE(""currency:EURUSD""),
 IF(E68&lt;&gt;"""", E68*GOOGLEFINANCE(""currency:DKKUSD""),
 IF(F68&lt;&gt;"""", F68*GOOGLEFINANCE(""currency:NOKUSD""),
 IF(G68&lt;&gt;"""", G68*GOOGLEFINANCE(""currency:SEKUSD""), """")))))
"),2.3525324)</f>
        <v>2.3525324</v>
      </c>
      <c r="M68" s="4"/>
    </row>
    <row r="69">
      <c r="B69" s="1" t="s">
        <v>82</v>
      </c>
      <c r="D69" s="1">
        <v>33.07</v>
      </c>
      <c r="H69" s="1" t="s">
        <v>18</v>
      </c>
      <c r="I69" s="1" t="s">
        <v>13</v>
      </c>
      <c r="J69" s="4">
        <f>IFERROR(__xludf.DUMMYFUNCTION("IF(D69&lt;&gt;"""", D69,
 IF(C69&lt;&gt;"""", C69*GOOGLEFINANCE(""currency:EURUSD""),
 IF(E69&lt;&gt;"""", E69*GOOGLEFINANCE(""currency:DKKUSD""),
 IF(F69&lt;&gt;"""", F69*GOOGLEFINANCE(""currency:NOKUSD""),
 IF(G69&lt;&gt;"""", G69*GOOGLEFINANCE(""currency:SEKUSD""), """")))))
"),33.07)</f>
        <v>33.07</v>
      </c>
      <c r="M69" s="4"/>
    </row>
    <row r="70">
      <c r="B70" s="1" t="s">
        <v>83</v>
      </c>
      <c r="C70" s="1">
        <v>8.49</v>
      </c>
      <c r="H70" s="1" t="s">
        <v>18</v>
      </c>
      <c r="I70" s="1" t="s">
        <v>22</v>
      </c>
      <c r="J70" s="4">
        <f>IFERROR(__xludf.DUMMYFUNCTION("IF(D70&lt;&gt;"""", D70,
 IF(C70&lt;&gt;"""", C70*GOOGLEFINANCE(""currency:EURUSD""),
 IF(E70&lt;&gt;"""", E70*GOOGLEFINANCE(""currency:DKKUSD""),
 IF(F70&lt;&gt;"""", F70*GOOGLEFINANCE(""currency:NOKUSD""),
 IF(G70&lt;&gt;"""", G70*GOOGLEFINANCE(""currency:SEKUSD""), """")))))
"),9.8876238)</f>
        <v>9.8876238</v>
      </c>
      <c r="M70" s="4"/>
    </row>
    <row r="71">
      <c r="B71" s="1" t="s">
        <v>84</v>
      </c>
      <c r="C71" s="1">
        <v>25.0</v>
      </c>
      <c r="H71" s="1" t="s">
        <v>18</v>
      </c>
      <c r="I71" s="1" t="s">
        <v>48</v>
      </c>
      <c r="J71" s="4">
        <f>IFERROR(__xludf.DUMMYFUNCTION("IF(D71&lt;&gt;"""", D71,
 IF(C71&lt;&gt;"""", C71*GOOGLEFINANCE(""currency:EURUSD""),
 IF(E71&lt;&gt;"""", E71*GOOGLEFINANCE(""currency:DKKUSD""),
 IF(F71&lt;&gt;"""", F71*GOOGLEFINANCE(""currency:NOKUSD""),
 IF(G71&lt;&gt;"""", G71*GOOGLEFINANCE(""currency:SEKUSD""), """")))))
"),29.1155)</f>
        <v>29.1155</v>
      </c>
      <c r="M71" s="4"/>
    </row>
    <row r="72">
      <c r="B72" s="1" t="s">
        <v>85</v>
      </c>
      <c r="C72" s="1">
        <v>3.5</v>
      </c>
      <c r="H72" s="1" t="s">
        <v>18</v>
      </c>
      <c r="I72" s="1" t="s">
        <v>22</v>
      </c>
      <c r="J72" s="4">
        <f>IFERROR(__xludf.DUMMYFUNCTION("IF(D72&lt;&gt;"""", D72,
 IF(C72&lt;&gt;"""", C72*GOOGLEFINANCE(""currency:EURUSD""),
 IF(E72&lt;&gt;"""", E72*GOOGLEFINANCE(""currency:DKKUSD""),
 IF(F72&lt;&gt;"""", F72*GOOGLEFINANCE(""currency:NOKUSD""),
 IF(G72&lt;&gt;"""", G72*GOOGLEFINANCE(""currency:SEKUSD""), """")))))
"),4.07617)</f>
        <v>4.07617</v>
      </c>
      <c r="M72" s="4"/>
    </row>
    <row r="73">
      <c r="B73" s="1" t="s">
        <v>86</v>
      </c>
      <c r="C73" s="1">
        <v>4.0</v>
      </c>
      <c r="H73" s="1" t="s">
        <v>18</v>
      </c>
      <c r="I73" s="1" t="s">
        <v>27</v>
      </c>
      <c r="J73" s="4">
        <f>IFERROR(__xludf.DUMMYFUNCTION("IF(D73&lt;&gt;"""", D73,
 IF(C73&lt;&gt;"""", C73*GOOGLEFINANCE(""currency:EURUSD""),
 IF(E73&lt;&gt;"""", E73*GOOGLEFINANCE(""currency:DKKUSD""),
 IF(F73&lt;&gt;"""", F73*GOOGLEFINANCE(""currency:NOKUSD""),
 IF(G73&lt;&gt;"""", G73*GOOGLEFINANCE(""currency:SEKUSD""), """")))))
"),4.65848)</f>
        <v>4.65848</v>
      </c>
      <c r="M73" s="4"/>
    </row>
    <row r="74">
      <c r="B74" s="1" t="s">
        <v>87</v>
      </c>
      <c r="C74" s="1">
        <v>12.5</v>
      </c>
      <c r="H74" s="1" t="s">
        <v>18</v>
      </c>
      <c r="I74" s="1" t="s">
        <v>22</v>
      </c>
      <c r="J74" s="4">
        <f>IFERROR(__xludf.DUMMYFUNCTION("IF(D74&lt;&gt;"""", D74,
 IF(C74&lt;&gt;"""", C74*GOOGLEFINANCE(""currency:EURUSD""),
 IF(E74&lt;&gt;"""", E74*GOOGLEFINANCE(""currency:DKKUSD""),
 IF(F74&lt;&gt;"""", F74*GOOGLEFINANCE(""currency:NOKUSD""),
 IF(G74&lt;&gt;"""", G74*GOOGLEFINANCE(""currency:SEKUSD""), """")))))
"),14.55775)</f>
        <v>14.55775</v>
      </c>
      <c r="M74" s="4"/>
    </row>
    <row r="75">
      <c r="B75" s="1" t="s">
        <v>88</v>
      </c>
      <c r="C75" s="1">
        <v>2.5</v>
      </c>
      <c r="H75" s="1" t="s">
        <v>18</v>
      </c>
      <c r="I75" s="1" t="s">
        <v>22</v>
      </c>
      <c r="J75" s="4">
        <f>IFERROR(__xludf.DUMMYFUNCTION("IF(D75&lt;&gt;"""", D75,
 IF(C75&lt;&gt;"""", C75*GOOGLEFINANCE(""currency:EURUSD""),
 IF(E75&lt;&gt;"""", E75*GOOGLEFINANCE(""currency:DKKUSD""),
 IF(F75&lt;&gt;"""", F75*GOOGLEFINANCE(""currency:NOKUSD""),
 IF(G75&lt;&gt;"""", G75*GOOGLEFINANCE(""currency:SEKUSD""), """")))))
"),2.91155)</f>
        <v>2.91155</v>
      </c>
      <c r="M75" s="4"/>
    </row>
    <row r="76">
      <c r="B76" s="1" t="s">
        <v>89</v>
      </c>
      <c r="C76" s="1">
        <v>12.0</v>
      </c>
      <c r="H76" s="1" t="s">
        <v>18</v>
      </c>
      <c r="I76" s="1" t="s">
        <v>89</v>
      </c>
      <c r="J76" s="4">
        <f>IFERROR(__xludf.DUMMYFUNCTION("IF(D76&lt;&gt;"""", D76,
 IF(C76&lt;&gt;"""", C76*GOOGLEFINANCE(""currency:EURUSD""),
 IF(E76&lt;&gt;"""", E76*GOOGLEFINANCE(""currency:DKKUSD""),
 IF(F76&lt;&gt;"""", F76*GOOGLEFINANCE(""currency:NOKUSD""),
 IF(G76&lt;&gt;"""", G76*GOOGLEFINANCE(""currency:SEKUSD""), """")))))
"),13.975439999999999)</f>
        <v>13.97544</v>
      </c>
      <c r="M76" s="4"/>
    </row>
    <row r="77">
      <c r="B77" s="1" t="s">
        <v>70</v>
      </c>
      <c r="C77" s="1">
        <v>14.87</v>
      </c>
      <c r="H77" s="1" t="s">
        <v>18</v>
      </c>
      <c r="I77" s="1" t="s">
        <v>22</v>
      </c>
      <c r="J77" s="4">
        <f>IFERROR(__xludf.DUMMYFUNCTION("IF(D77&lt;&gt;"""", D77,
 IF(C77&lt;&gt;"""", C77*GOOGLEFINANCE(""currency:EURUSD""),
 IF(E77&lt;&gt;"""", E77*GOOGLEFINANCE(""currency:DKKUSD""),
 IF(F77&lt;&gt;"""", F77*GOOGLEFINANCE(""currency:NOKUSD""),
 IF(G77&lt;&gt;"""", G77*GOOGLEFINANCE(""currency:SEKUSD""), """")))))
"),17.317899399999998)</f>
        <v>17.3178994</v>
      </c>
      <c r="M77" s="4"/>
    </row>
    <row r="78">
      <c r="B78" s="1" t="s">
        <v>90</v>
      </c>
      <c r="C78" s="1">
        <v>20.0</v>
      </c>
      <c r="H78" s="1" t="s">
        <v>18</v>
      </c>
      <c r="I78" s="1" t="s">
        <v>42</v>
      </c>
      <c r="J78" s="4">
        <f>IFERROR(__xludf.DUMMYFUNCTION("IF(D78&lt;&gt;"""", D78,
 IF(C78&lt;&gt;"""", C78*GOOGLEFINANCE(""currency:EURUSD""),
 IF(E78&lt;&gt;"""", E78*GOOGLEFINANCE(""currency:DKKUSD""),
 IF(F78&lt;&gt;"""", F78*GOOGLEFINANCE(""currency:NOKUSD""),
 IF(G78&lt;&gt;"""", G78*GOOGLEFINANCE(""currency:SEKUSD""), """")))))
"),23.2924)</f>
        <v>23.2924</v>
      </c>
      <c r="M78" s="4"/>
    </row>
    <row r="79">
      <c r="B79" s="1" t="s">
        <v>91</v>
      </c>
      <c r="C79" s="1">
        <v>7.0</v>
      </c>
      <c r="H79" s="1" t="s">
        <v>18</v>
      </c>
      <c r="I79" s="1" t="s">
        <v>13</v>
      </c>
      <c r="J79" s="4">
        <f>IFERROR(__xludf.DUMMYFUNCTION("IF(D79&lt;&gt;"""", D79,
 IF(C79&lt;&gt;"""", C79*GOOGLEFINANCE(""currency:EURUSD""),
 IF(E79&lt;&gt;"""", E79*GOOGLEFINANCE(""currency:DKKUSD""),
 IF(F79&lt;&gt;"""", F79*GOOGLEFINANCE(""currency:NOKUSD""),
 IF(G79&lt;&gt;"""", G79*GOOGLEFINANCE(""currency:SEKUSD""), """")))))
"),8.15234)</f>
        <v>8.15234</v>
      </c>
      <c r="M79" s="4"/>
    </row>
    <row r="80">
      <c r="B80" s="1" t="s">
        <v>36</v>
      </c>
      <c r="C80" s="1">
        <v>6.1</v>
      </c>
      <c r="H80" s="1" t="s">
        <v>18</v>
      </c>
      <c r="I80" s="1" t="s">
        <v>22</v>
      </c>
      <c r="J80" s="4">
        <f>IFERROR(__xludf.DUMMYFUNCTION("IF(D80&lt;&gt;"""", D80,
 IF(C80&lt;&gt;"""", C80*GOOGLEFINANCE(""currency:EURUSD""),
 IF(E80&lt;&gt;"""", E80*GOOGLEFINANCE(""currency:DKKUSD""),
 IF(F80&lt;&gt;"""", F80*GOOGLEFINANCE(""currency:NOKUSD""),
 IF(G80&lt;&gt;"""", G80*GOOGLEFINANCE(""currency:SEKUSD""), """")))))
"),7.104182)</f>
        <v>7.104182</v>
      </c>
      <c r="M80" s="4"/>
    </row>
    <row r="81">
      <c r="B81" s="1" t="s">
        <v>92</v>
      </c>
      <c r="C81" s="1">
        <v>6.5</v>
      </c>
      <c r="H81" s="1" t="s">
        <v>18</v>
      </c>
      <c r="I81" s="1" t="s">
        <v>22</v>
      </c>
      <c r="J81" s="4">
        <f>IFERROR(__xludf.DUMMYFUNCTION("IF(D81&lt;&gt;"""", D81,
 IF(C81&lt;&gt;"""", C81*GOOGLEFINANCE(""currency:EURUSD""),
 IF(E81&lt;&gt;"""", E81*GOOGLEFINANCE(""currency:DKKUSD""),
 IF(F81&lt;&gt;"""", F81*GOOGLEFINANCE(""currency:NOKUSD""),
 IF(G81&lt;&gt;"""", G81*GOOGLEFINANCE(""currency:SEKUSD""), """")))))
"),7.57003)</f>
        <v>7.57003</v>
      </c>
      <c r="M81" s="4"/>
    </row>
    <row r="82">
      <c r="B82" s="1" t="s">
        <v>93</v>
      </c>
      <c r="C82" s="1">
        <v>71.0</v>
      </c>
      <c r="H82" s="1" t="s">
        <v>18</v>
      </c>
      <c r="I82" s="1" t="s">
        <v>13</v>
      </c>
      <c r="J82" s="4">
        <f>IFERROR(__xludf.DUMMYFUNCTION("IF(D82&lt;&gt;"""", D82,
 IF(C82&lt;&gt;"""", C82*GOOGLEFINANCE(""currency:EURUSD""),
 IF(E82&lt;&gt;"""", E82*GOOGLEFINANCE(""currency:DKKUSD""),
 IF(F82&lt;&gt;"""", F82*GOOGLEFINANCE(""currency:NOKUSD""),
 IF(G82&lt;&gt;"""", G82*GOOGLEFINANCE(""currency:SEKUSD""), """")))))
"),82.68802)</f>
        <v>82.68802</v>
      </c>
      <c r="M82" s="4"/>
    </row>
    <row r="83">
      <c r="B83" s="1" t="s">
        <v>94</v>
      </c>
      <c r="D83" s="1">
        <v>210.0</v>
      </c>
      <c r="H83" s="1" t="s">
        <v>16</v>
      </c>
      <c r="I83" s="1" t="s">
        <v>42</v>
      </c>
      <c r="J83" s="4">
        <f>IFERROR(__xludf.DUMMYFUNCTION("IF(D83&lt;&gt;"""", D83,
 IF(C83&lt;&gt;"""", C83*GOOGLEFINANCE(""currency:EURUSD""),
 IF(E83&lt;&gt;"""", E83*GOOGLEFINANCE(""currency:DKKUSD""),
 IF(F83&lt;&gt;"""", F83*GOOGLEFINANCE(""currency:NOKUSD""),
 IF(G83&lt;&gt;"""", G83*GOOGLEFINANCE(""currency:SEKUSD""), """")))))
"),210.0)</f>
        <v>210</v>
      </c>
      <c r="M83" s="4"/>
    </row>
    <row r="84">
      <c r="B84" s="1" t="s">
        <v>95</v>
      </c>
      <c r="C84" s="1">
        <v>8.8</v>
      </c>
      <c r="H84" s="1" t="s">
        <v>80</v>
      </c>
      <c r="I84" s="1" t="s">
        <v>13</v>
      </c>
      <c r="J84" s="4">
        <f>IFERROR(__xludf.DUMMYFUNCTION("IF(D84&lt;&gt;"""", D84,
 IF(C84&lt;&gt;"""", C84*GOOGLEFINANCE(""currency:EURUSD""),
 IF(E84&lt;&gt;"""", E84*GOOGLEFINANCE(""currency:DKKUSD""),
 IF(F84&lt;&gt;"""", F84*GOOGLEFINANCE(""currency:NOKUSD""),
 IF(G84&lt;&gt;"""", G84*GOOGLEFINANCE(""currency:SEKUSD""), """")))))
"),10.248656)</f>
        <v>10.248656</v>
      </c>
      <c r="M84" s="4"/>
    </row>
    <row r="85">
      <c r="B85" s="1" t="s">
        <v>96</v>
      </c>
      <c r="C85" s="1">
        <v>8.8</v>
      </c>
      <c r="H85" s="1" t="s">
        <v>80</v>
      </c>
      <c r="I85" s="1" t="s">
        <v>13</v>
      </c>
      <c r="J85" s="4">
        <f>IFERROR(__xludf.DUMMYFUNCTION("IF(D85&lt;&gt;"""", D85,
 IF(C85&lt;&gt;"""", C85*GOOGLEFINANCE(""currency:EURUSD""),
 IF(E85&lt;&gt;"""", E85*GOOGLEFINANCE(""currency:DKKUSD""),
 IF(F85&lt;&gt;"""", F85*GOOGLEFINANCE(""currency:NOKUSD""),
 IF(G85&lt;&gt;"""", G85*GOOGLEFINANCE(""currency:SEKUSD""), """")))))
"),10.248656)</f>
        <v>10.248656</v>
      </c>
      <c r="M85" s="4"/>
    </row>
    <row r="86">
      <c r="B86" s="1" t="s">
        <v>97</v>
      </c>
      <c r="D86" s="1">
        <v>22.51</v>
      </c>
      <c r="H86" s="1" t="s">
        <v>80</v>
      </c>
      <c r="I86" s="1" t="s">
        <v>13</v>
      </c>
      <c r="J86" s="4">
        <f>IFERROR(__xludf.DUMMYFUNCTION("IF(D86&lt;&gt;"""", D86,
 IF(C86&lt;&gt;"""", C86*GOOGLEFINANCE(""currency:EURUSD""),
 IF(E86&lt;&gt;"""", E86*GOOGLEFINANCE(""currency:DKKUSD""),
 IF(F86&lt;&gt;"""", F86*GOOGLEFINANCE(""currency:NOKUSD""),
 IF(G86&lt;&gt;"""", G86*GOOGLEFINANCE(""currency:SEKUSD""), """")))))
"),22.51)</f>
        <v>22.51</v>
      </c>
      <c r="M86" s="4"/>
    </row>
    <row r="87">
      <c r="B87" s="1" t="s">
        <v>98</v>
      </c>
      <c r="D87" s="1">
        <v>15.75</v>
      </c>
      <c r="H87" s="1" t="s">
        <v>80</v>
      </c>
      <c r="I87" s="1" t="s">
        <v>13</v>
      </c>
      <c r="J87" s="4">
        <f>IFERROR(__xludf.DUMMYFUNCTION("IF(D87&lt;&gt;"""", D87,
 IF(C87&lt;&gt;"""", C87*GOOGLEFINANCE(""currency:EURUSD""),
 IF(E87&lt;&gt;"""", E87*GOOGLEFINANCE(""currency:DKKUSD""),
 IF(F87&lt;&gt;"""", F87*GOOGLEFINANCE(""currency:NOKUSD""),
 IF(G87&lt;&gt;"""", G87*GOOGLEFINANCE(""currency:SEKUSD""), """")))))
"),15.75)</f>
        <v>15.75</v>
      </c>
      <c r="M87" s="4"/>
    </row>
    <row r="88">
      <c r="J88" s="4" t="str">
        <f>IFERROR(__xludf.DUMMYFUNCTION("IF(D88&lt;&gt;"""", D88,
 IF(C88&lt;&gt;"""", C88*GOOGLEFINANCE(""currency:EURUSD""),
 IF(E88&lt;&gt;"""", E88*GOOGLEFINANCE(""currency:DKKUSD""),
 IF(F88&lt;&gt;"""", F88*GOOGLEFINANCE(""currency:NOKUSD""),
 IF(G88&lt;&gt;"""", G88*GOOGLEFINANCE(""currency:SEKUSD""), """")))))
"),"")</f>
        <v/>
      </c>
      <c r="M88" s="4"/>
    </row>
    <row r="89">
      <c r="J89" s="4" t="str">
        <f>IFERROR(__xludf.DUMMYFUNCTION("IF(D89&lt;&gt;"""", D89,
 IF(C89&lt;&gt;"""", C89*GOOGLEFINANCE(""currency:EURUSD""),
 IF(E89&lt;&gt;"""", E89*GOOGLEFINANCE(""currency:DKKUSD""),
 IF(F89&lt;&gt;"""", F89*GOOGLEFINANCE(""currency:NOKUSD""),
 IF(G89&lt;&gt;"""", G89*GOOGLEFINANCE(""currency:SEKUSD""), """")))))
"),"")</f>
        <v/>
      </c>
      <c r="M89" s="4"/>
    </row>
    <row r="90">
      <c r="J90" s="4" t="str">
        <f>IFERROR(__xludf.DUMMYFUNCTION("IF(D90&lt;&gt;"""", D90,
 IF(C90&lt;&gt;"""", C90*GOOGLEFINANCE(""currency:EURUSD""),
 IF(E90&lt;&gt;"""", E90*GOOGLEFINANCE(""currency:DKKUSD""),
 IF(F90&lt;&gt;"""", F90*GOOGLEFINANCE(""currency:NOKUSD""),
 IF(G90&lt;&gt;"""", G90*GOOGLEFINANCE(""currency:SEKUSD""), """")))))
"),"")</f>
        <v/>
      </c>
      <c r="M90" s="4"/>
    </row>
    <row r="91">
      <c r="J91" s="4"/>
      <c r="M91" s="4"/>
    </row>
    <row r="92">
      <c r="J92" s="4"/>
      <c r="M92" s="4"/>
    </row>
    <row r="93">
      <c r="J93" s="4"/>
      <c r="M93" s="4"/>
    </row>
    <row r="94">
      <c r="J94" s="4"/>
      <c r="M94" s="4"/>
    </row>
    <row r="95">
      <c r="J95" s="4"/>
      <c r="M95" s="4"/>
    </row>
    <row r="96">
      <c r="J96" s="4"/>
      <c r="M96" s="4"/>
    </row>
    <row r="97">
      <c r="J97" s="4"/>
      <c r="M97" s="4"/>
    </row>
    <row r="98">
      <c r="J98" s="4"/>
      <c r="M98" s="4"/>
    </row>
    <row r="99">
      <c r="J99" s="4"/>
      <c r="M99" s="4"/>
    </row>
    <row r="100">
      <c r="J100" s="4"/>
      <c r="M100" s="4"/>
    </row>
    <row r="101">
      <c r="J101" s="4"/>
      <c r="M101" s="4"/>
    </row>
    <row r="102">
      <c r="J102" s="4"/>
      <c r="M102" s="4"/>
    </row>
    <row r="103">
      <c r="J103" s="4"/>
      <c r="M103" s="4"/>
    </row>
    <row r="104">
      <c r="J104" s="4"/>
      <c r="M104" s="4"/>
    </row>
    <row r="105">
      <c r="J105" s="4"/>
      <c r="M105" s="4"/>
    </row>
    <row r="106">
      <c r="J106" s="4"/>
      <c r="M106" s="4"/>
    </row>
    <row r="107">
      <c r="J107" s="4"/>
      <c r="M107" s="4"/>
    </row>
    <row r="108">
      <c r="J108" s="4"/>
      <c r="M108" s="4"/>
    </row>
    <row r="109">
      <c r="J109" s="4"/>
      <c r="M109" s="4"/>
    </row>
    <row r="110">
      <c r="J110" s="4"/>
      <c r="M110" s="4"/>
    </row>
    <row r="111">
      <c r="J111" s="4"/>
      <c r="M111" s="4"/>
    </row>
    <row r="112">
      <c r="J112" s="4"/>
      <c r="M112" s="4"/>
    </row>
    <row r="113">
      <c r="J113" s="4"/>
      <c r="M113" s="4"/>
    </row>
    <row r="114">
      <c r="J114" s="4"/>
      <c r="M114" s="4"/>
    </row>
    <row r="115">
      <c r="J115" s="4"/>
      <c r="M115" s="4"/>
    </row>
    <row r="116">
      <c r="J116" s="4"/>
      <c r="M116" s="4"/>
    </row>
    <row r="117">
      <c r="J117" s="4"/>
      <c r="M117" s="4"/>
    </row>
    <row r="118">
      <c r="J118" s="4"/>
      <c r="M118" s="4"/>
    </row>
    <row r="119">
      <c r="J119" s="4"/>
      <c r="M119" s="4"/>
    </row>
    <row r="120">
      <c r="J120" s="4"/>
      <c r="M120" s="4"/>
    </row>
    <row r="121">
      <c r="J121" s="4"/>
      <c r="M121" s="4"/>
    </row>
    <row r="122">
      <c r="J122" s="4"/>
      <c r="M122" s="4"/>
    </row>
    <row r="123">
      <c r="J123" s="4"/>
      <c r="M123" s="4"/>
    </row>
    <row r="124">
      <c r="J124" s="4"/>
      <c r="M124" s="4"/>
    </row>
    <row r="125">
      <c r="J125" s="4"/>
      <c r="M125" s="4"/>
    </row>
    <row r="126">
      <c r="J126" s="4"/>
      <c r="M126" s="4"/>
    </row>
    <row r="127">
      <c r="J127" s="4"/>
      <c r="M127" s="4"/>
    </row>
    <row r="128">
      <c r="J128" s="4"/>
      <c r="M128" s="4"/>
    </row>
    <row r="129">
      <c r="J129" s="4"/>
      <c r="M129" s="4"/>
    </row>
    <row r="130">
      <c r="J130" s="4"/>
      <c r="M130" s="4"/>
    </row>
    <row r="131">
      <c r="J131" s="4"/>
      <c r="M131" s="4"/>
    </row>
    <row r="132">
      <c r="J132" s="4"/>
      <c r="M132" s="4"/>
    </row>
    <row r="133">
      <c r="J133" s="4"/>
      <c r="M133" s="4"/>
    </row>
    <row r="134">
      <c r="J134" s="4"/>
      <c r="M134" s="4"/>
    </row>
    <row r="135">
      <c r="J135" s="4"/>
      <c r="M135" s="4"/>
    </row>
    <row r="136">
      <c r="J136" s="4"/>
      <c r="M136" s="4"/>
    </row>
    <row r="137">
      <c r="J137" s="4"/>
      <c r="M137" s="4"/>
    </row>
    <row r="138">
      <c r="J138" s="4"/>
      <c r="M138" s="4"/>
    </row>
    <row r="139">
      <c r="J139" s="4"/>
      <c r="M139" s="4"/>
    </row>
    <row r="140">
      <c r="J140" s="4"/>
      <c r="M140" s="4"/>
    </row>
    <row r="141">
      <c r="J141" s="4"/>
      <c r="M141" s="4"/>
    </row>
    <row r="142">
      <c r="J142" s="4"/>
      <c r="M142" s="4"/>
    </row>
    <row r="143">
      <c r="J143" s="4"/>
      <c r="M143" s="4"/>
    </row>
    <row r="144">
      <c r="J144" s="4"/>
      <c r="M144" s="4"/>
    </row>
    <row r="145">
      <c r="J145" s="4"/>
      <c r="M145" s="4"/>
    </row>
    <row r="146">
      <c r="J146" s="4"/>
      <c r="M146" s="4"/>
    </row>
    <row r="147">
      <c r="J147" s="4"/>
      <c r="M147" s="4"/>
    </row>
    <row r="148">
      <c r="J148" s="4"/>
      <c r="M148" s="4"/>
    </row>
    <row r="149">
      <c r="J149" s="4"/>
      <c r="M149" s="4"/>
    </row>
    <row r="150">
      <c r="J150" s="4"/>
      <c r="M150" s="4"/>
    </row>
    <row r="151">
      <c r="J151" s="4"/>
      <c r="M151" s="4"/>
    </row>
    <row r="152">
      <c r="J152" s="4"/>
      <c r="M152" s="4"/>
    </row>
    <row r="153">
      <c r="J153" s="4"/>
      <c r="M153" s="4"/>
    </row>
    <row r="154">
      <c r="J154" s="4"/>
      <c r="M154" s="4"/>
    </row>
    <row r="155">
      <c r="J155" s="4"/>
      <c r="M155" s="4"/>
    </row>
    <row r="156">
      <c r="J156" s="4"/>
      <c r="M156" s="4"/>
    </row>
    <row r="157">
      <c r="J157" s="4"/>
      <c r="M157" s="4"/>
    </row>
    <row r="158">
      <c r="J158" s="4"/>
      <c r="M158" s="4"/>
    </row>
    <row r="159">
      <c r="J159" s="4"/>
      <c r="M159" s="4"/>
    </row>
    <row r="160">
      <c r="J160" s="4"/>
      <c r="M160" s="4"/>
    </row>
    <row r="161">
      <c r="J161" s="4"/>
      <c r="M161" s="4"/>
    </row>
    <row r="162">
      <c r="J162" s="4"/>
      <c r="M162" s="4"/>
    </row>
    <row r="163">
      <c r="J163" s="4"/>
      <c r="M163" s="4"/>
    </row>
    <row r="164">
      <c r="J164" s="4"/>
      <c r="M164" s="4"/>
    </row>
    <row r="165">
      <c r="J165" s="4"/>
      <c r="M165" s="4"/>
    </row>
    <row r="166">
      <c r="J166" s="4"/>
      <c r="M166" s="4"/>
    </row>
    <row r="167">
      <c r="J167" s="4"/>
      <c r="M167" s="4"/>
    </row>
    <row r="168">
      <c r="J168" s="4"/>
      <c r="M168" s="4"/>
    </row>
    <row r="169">
      <c r="J169" s="4"/>
      <c r="M169" s="4"/>
    </row>
    <row r="170">
      <c r="J170" s="4"/>
      <c r="M170" s="4"/>
    </row>
    <row r="171">
      <c r="J171" s="4"/>
      <c r="M171" s="4"/>
    </row>
    <row r="172">
      <c r="J172" s="4"/>
      <c r="M172" s="4"/>
    </row>
    <row r="173">
      <c r="J173" s="4"/>
      <c r="M173" s="4"/>
    </row>
    <row r="174">
      <c r="J174" s="4"/>
      <c r="M174" s="4"/>
    </row>
    <row r="175">
      <c r="J175" s="4"/>
      <c r="M175" s="4"/>
    </row>
    <row r="176">
      <c r="J176" s="4"/>
      <c r="M176" s="4"/>
    </row>
    <row r="177">
      <c r="J177" s="4"/>
      <c r="M177" s="4"/>
    </row>
    <row r="178">
      <c r="J178" s="4"/>
      <c r="M178" s="4"/>
    </row>
    <row r="179">
      <c r="J179" s="4"/>
      <c r="M179" s="4"/>
    </row>
    <row r="180">
      <c r="J180" s="4"/>
      <c r="M180" s="4"/>
    </row>
    <row r="181">
      <c r="J181" s="4"/>
      <c r="M181" s="4"/>
    </row>
    <row r="182">
      <c r="J182" s="4"/>
      <c r="M182" s="4"/>
    </row>
    <row r="183">
      <c r="J183" s="4"/>
      <c r="M183" s="4"/>
    </row>
    <row r="184">
      <c r="J184" s="4"/>
      <c r="M184" s="4"/>
    </row>
    <row r="185">
      <c r="J185" s="4"/>
      <c r="M185" s="4"/>
    </row>
    <row r="186">
      <c r="J186" s="4"/>
      <c r="M186" s="4"/>
    </row>
    <row r="187">
      <c r="J187" s="4"/>
      <c r="M187" s="4"/>
    </row>
    <row r="188">
      <c r="J188" s="4"/>
      <c r="M188" s="4"/>
    </row>
    <row r="189">
      <c r="J189" s="4"/>
      <c r="M189" s="4"/>
    </row>
    <row r="190">
      <c r="J190" s="4"/>
      <c r="M190" s="4"/>
    </row>
    <row r="191">
      <c r="J191" s="4"/>
      <c r="M191" s="4"/>
    </row>
    <row r="192">
      <c r="J192" s="4"/>
      <c r="M192" s="4"/>
    </row>
    <row r="193">
      <c r="J193" s="4"/>
      <c r="M193" s="4"/>
    </row>
    <row r="194">
      <c r="J194" s="4"/>
      <c r="M194" s="4"/>
    </row>
    <row r="195">
      <c r="J195" s="4"/>
      <c r="M195" s="4"/>
    </row>
    <row r="196">
      <c r="J196" s="4"/>
      <c r="M196" s="4"/>
    </row>
    <row r="197">
      <c r="J197" s="4"/>
      <c r="M197" s="4"/>
    </row>
    <row r="198">
      <c r="J198" s="4"/>
      <c r="M198" s="4"/>
    </row>
    <row r="199">
      <c r="J199" s="4"/>
      <c r="M199" s="4"/>
    </row>
    <row r="200">
      <c r="J200" s="4"/>
      <c r="M200" s="4"/>
    </row>
    <row r="201">
      <c r="J201" s="4"/>
      <c r="M201" s="4"/>
    </row>
    <row r="202">
      <c r="J202" s="4"/>
      <c r="M202" s="4"/>
    </row>
    <row r="203">
      <c r="J203" s="4"/>
      <c r="M203" s="4"/>
    </row>
    <row r="204">
      <c r="J204" s="4"/>
      <c r="M204" s="4"/>
    </row>
    <row r="205">
      <c r="J205" s="4"/>
      <c r="M205" s="4"/>
    </row>
    <row r="206">
      <c r="J206" s="4"/>
      <c r="M206" s="4"/>
    </row>
    <row r="207">
      <c r="J207" s="4"/>
      <c r="M207" s="4"/>
    </row>
    <row r="208">
      <c r="J208" s="4"/>
      <c r="M208" s="4"/>
    </row>
    <row r="209">
      <c r="J209" s="4"/>
      <c r="M209" s="4"/>
    </row>
    <row r="210">
      <c r="J210" s="4"/>
      <c r="M210" s="4"/>
    </row>
    <row r="211">
      <c r="J211" s="4"/>
      <c r="M211" s="4"/>
    </row>
    <row r="212">
      <c r="J212" s="4"/>
      <c r="M212" s="4"/>
    </row>
    <row r="213">
      <c r="J213" s="4"/>
      <c r="M213" s="4"/>
    </row>
    <row r="214">
      <c r="J214" s="4"/>
      <c r="M214" s="4"/>
    </row>
    <row r="215">
      <c r="J215" s="4"/>
      <c r="M215" s="4"/>
    </row>
    <row r="216">
      <c r="J216" s="4"/>
      <c r="M216" s="4"/>
    </row>
    <row r="217">
      <c r="J217" s="4"/>
      <c r="M217" s="4"/>
    </row>
    <row r="218">
      <c r="J218" s="4"/>
      <c r="M218" s="4"/>
    </row>
    <row r="219">
      <c r="J219" s="4"/>
      <c r="M219" s="4"/>
    </row>
    <row r="220">
      <c r="J220" s="4"/>
      <c r="M220" s="4"/>
    </row>
    <row r="221">
      <c r="J221" s="4"/>
      <c r="M221" s="4"/>
    </row>
    <row r="222">
      <c r="J222" s="4"/>
      <c r="M222" s="4"/>
    </row>
    <row r="223">
      <c r="J223" s="4"/>
      <c r="M223" s="4"/>
    </row>
    <row r="224">
      <c r="J224" s="4"/>
      <c r="M224" s="4"/>
    </row>
    <row r="225">
      <c r="J225" s="4"/>
      <c r="M225" s="4"/>
    </row>
    <row r="226">
      <c r="J226" s="4"/>
      <c r="M226" s="4"/>
    </row>
    <row r="227">
      <c r="J227" s="4"/>
      <c r="M227" s="4"/>
    </row>
    <row r="228">
      <c r="J228" s="4"/>
      <c r="M228" s="4"/>
    </row>
    <row r="229">
      <c r="J229" s="4"/>
      <c r="M229" s="4"/>
    </row>
    <row r="230">
      <c r="J230" s="4"/>
      <c r="M230" s="4"/>
    </row>
    <row r="231">
      <c r="J231" s="4"/>
      <c r="M231" s="4"/>
    </row>
    <row r="232">
      <c r="J232" s="4"/>
      <c r="M232" s="4"/>
    </row>
    <row r="233">
      <c r="J233" s="4"/>
      <c r="M233" s="4"/>
    </row>
    <row r="234">
      <c r="J234" s="4"/>
      <c r="M234" s="4"/>
    </row>
    <row r="235">
      <c r="J235" s="4"/>
      <c r="M235" s="4"/>
    </row>
    <row r="236">
      <c r="J236" s="4"/>
      <c r="M236" s="4"/>
    </row>
    <row r="237">
      <c r="J237" s="4"/>
      <c r="M237" s="4"/>
    </row>
    <row r="238">
      <c r="J238" s="4"/>
      <c r="M238" s="4"/>
    </row>
    <row r="239">
      <c r="J239" s="4"/>
      <c r="M239" s="4"/>
    </row>
    <row r="240">
      <c r="J240" s="4"/>
      <c r="M240" s="4"/>
    </row>
    <row r="241">
      <c r="J241" s="4"/>
      <c r="M241" s="4"/>
    </row>
    <row r="242">
      <c r="J242" s="4"/>
      <c r="M242" s="4"/>
    </row>
    <row r="243">
      <c r="J243" s="4"/>
      <c r="M243" s="4"/>
    </row>
    <row r="244">
      <c r="J244" s="4"/>
      <c r="M244" s="4"/>
    </row>
    <row r="245">
      <c r="J245" s="4"/>
      <c r="M245" s="4"/>
    </row>
    <row r="246">
      <c r="J246" s="4"/>
      <c r="M246" s="4"/>
    </row>
    <row r="247">
      <c r="J247" s="4"/>
      <c r="M247" s="4"/>
    </row>
    <row r="248">
      <c r="J248" s="4"/>
      <c r="M248" s="4"/>
    </row>
    <row r="249">
      <c r="J249" s="4"/>
      <c r="M249" s="4"/>
    </row>
    <row r="250">
      <c r="J250" s="4"/>
      <c r="M250" s="4"/>
    </row>
    <row r="251">
      <c r="J251" s="4"/>
      <c r="M251" s="4"/>
    </row>
    <row r="252">
      <c r="J252" s="4"/>
      <c r="M252" s="4"/>
    </row>
    <row r="253">
      <c r="J253" s="4"/>
      <c r="M253" s="4"/>
    </row>
    <row r="254">
      <c r="J254" s="4"/>
      <c r="M254" s="4"/>
    </row>
    <row r="255">
      <c r="J255" s="4"/>
      <c r="M255" s="4"/>
    </row>
    <row r="256">
      <c r="J256" s="4"/>
      <c r="M256" s="4"/>
    </row>
    <row r="257">
      <c r="J257" s="4"/>
      <c r="M257" s="4"/>
    </row>
    <row r="258">
      <c r="J258" s="4"/>
      <c r="M258" s="4"/>
    </row>
    <row r="259">
      <c r="J259" s="4"/>
      <c r="M259" s="4"/>
    </row>
    <row r="260">
      <c r="J260" s="4"/>
      <c r="M260" s="4"/>
    </row>
    <row r="261">
      <c r="J261" s="4"/>
      <c r="M261" s="4"/>
    </row>
    <row r="262">
      <c r="J262" s="4"/>
      <c r="M262" s="4"/>
    </row>
    <row r="263">
      <c r="J263" s="4"/>
      <c r="M263" s="4"/>
    </row>
    <row r="264">
      <c r="J264" s="4"/>
      <c r="M264" s="4"/>
    </row>
    <row r="265">
      <c r="J265" s="4"/>
      <c r="M265" s="4"/>
    </row>
    <row r="266">
      <c r="J266" s="4"/>
      <c r="M266" s="4"/>
    </row>
    <row r="267">
      <c r="J267" s="4"/>
      <c r="M267" s="4"/>
    </row>
    <row r="268">
      <c r="J268" s="4"/>
      <c r="M268" s="4"/>
    </row>
    <row r="269">
      <c r="J269" s="4"/>
      <c r="M269" s="4"/>
    </row>
    <row r="270">
      <c r="J270" s="4"/>
      <c r="M270" s="4"/>
    </row>
    <row r="271">
      <c r="J271" s="4"/>
      <c r="M271" s="4"/>
    </row>
    <row r="272">
      <c r="J272" s="4"/>
      <c r="M272" s="4"/>
    </row>
    <row r="273">
      <c r="J273" s="4"/>
      <c r="M273" s="4"/>
    </row>
    <row r="274">
      <c r="J274" s="4"/>
      <c r="M274" s="4"/>
    </row>
    <row r="275">
      <c r="J275" s="4"/>
      <c r="M275" s="4"/>
    </row>
    <row r="276">
      <c r="J276" s="4"/>
      <c r="M276" s="4"/>
    </row>
    <row r="277">
      <c r="J277" s="4"/>
      <c r="M277" s="4"/>
    </row>
    <row r="278">
      <c r="J278" s="4"/>
      <c r="M278" s="4"/>
    </row>
    <row r="279">
      <c r="J279" s="4"/>
      <c r="M279" s="4"/>
    </row>
    <row r="280">
      <c r="J280" s="4"/>
      <c r="M280" s="4"/>
    </row>
    <row r="281">
      <c r="J281" s="4"/>
      <c r="M281" s="4"/>
    </row>
    <row r="282">
      <c r="J282" s="4"/>
      <c r="M282" s="4"/>
    </row>
    <row r="283">
      <c r="J283" s="4"/>
      <c r="M283" s="4"/>
    </row>
    <row r="284">
      <c r="J284" s="4"/>
      <c r="M284" s="4"/>
    </row>
    <row r="285">
      <c r="J285" s="4"/>
      <c r="M285" s="4"/>
    </row>
    <row r="286">
      <c r="J286" s="4"/>
      <c r="M286" s="4"/>
    </row>
    <row r="287">
      <c r="J287" s="4"/>
      <c r="M287" s="4"/>
    </row>
    <row r="288">
      <c r="J288" s="4"/>
      <c r="M288" s="4"/>
    </row>
    <row r="289">
      <c r="J289" s="4"/>
      <c r="M289" s="4"/>
    </row>
    <row r="290">
      <c r="J290" s="4"/>
      <c r="M290" s="4"/>
    </row>
    <row r="291">
      <c r="J291" s="4"/>
      <c r="M291" s="4"/>
    </row>
    <row r="292">
      <c r="J292" s="4"/>
      <c r="M292" s="4"/>
    </row>
    <row r="293">
      <c r="J293" s="4"/>
      <c r="M293" s="4"/>
    </row>
    <row r="294">
      <c r="J294" s="4"/>
      <c r="M294" s="4"/>
    </row>
    <row r="295">
      <c r="J295" s="4"/>
      <c r="M295" s="4"/>
    </row>
    <row r="296">
      <c r="J296" s="4"/>
      <c r="M296" s="4"/>
    </row>
    <row r="297">
      <c r="J297" s="4"/>
      <c r="M297" s="4"/>
    </row>
    <row r="298">
      <c r="J298" s="4"/>
      <c r="M298" s="4"/>
    </row>
    <row r="299">
      <c r="J299" s="4"/>
      <c r="M299" s="4"/>
    </row>
    <row r="300">
      <c r="J300" s="4"/>
      <c r="M300" s="4"/>
    </row>
    <row r="301">
      <c r="J301" s="4"/>
      <c r="M301" s="4"/>
    </row>
    <row r="302">
      <c r="J302" s="4"/>
      <c r="M302" s="4"/>
    </row>
    <row r="303">
      <c r="J303" s="4"/>
      <c r="M303" s="4"/>
    </row>
    <row r="304">
      <c r="J304" s="4"/>
      <c r="M304" s="4"/>
    </row>
    <row r="305">
      <c r="J305" s="4"/>
      <c r="M305" s="4"/>
    </row>
    <row r="306">
      <c r="J306" s="4"/>
      <c r="M306" s="4"/>
    </row>
    <row r="307">
      <c r="J307" s="4"/>
      <c r="M307" s="4"/>
    </row>
    <row r="308">
      <c r="J308" s="4"/>
      <c r="M308" s="4"/>
    </row>
    <row r="309">
      <c r="J309" s="4"/>
      <c r="M309" s="4"/>
    </row>
    <row r="310">
      <c r="J310" s="4"/>
      <c r="M310" s="4"/>
    </row>
    <row r="311">
      <c r="J311" s="4"/>
      <c r="M311" s="4"/>
    </row>
    <row r="312">
      <c r="J312" s="4"/>
      <c r="M312" s="4"/>
    </row>
    <row r="313">
      <c r="J313" s="4"/>
      <c r="M313" s="4"/>
    </row>
    <row r="314">
      <c r="J314" s="4"/>
      <c r="M314" s="4"/>
    </row>
    <row r="315">
      <c r="J315" s="4"/>
      <c r="M315" s="4"/>
    </row>
    <row r="316">
      <c r="J316" s="4"/>
      <c r="M316" s="4"/>
    </row>
    <row r="317">
      <c r="J317" s="4"/>
      <c r="M317" s="4"/>
    </row>
    <row r="318">
      <c r="J318" s="4"/>
      <c r="M318" s="4"/>
    </row>
    <row r="319">
      <c r="J319" s="4"/>
      <c r="M319" s="4"/>
    </row>
    <row r="320">
      <c r="J320" s="4"/>
      <c r="M320" s="4"/>
    </row>
    <row r="321">
      <c r="J321" s="4"/>
      <c r="M321" s="4"/>
    </row>
    <row r="322">
      <c r="J322" s="4"/>
      <c r="M322" s="4"/>
    </row>
    <row r="323">
      <c r="J323" s="4"/>
      <c r="M323" s="4"/>
    </row>
    <row r="324">
      <c r="J324" s="4"/>
      <c r="M324" s="4"/>
    </row>
    <row r="325">
      <c r="J325" s="4"/>
      <c r="M325" s="4"/>
    </row>
    <row r="326">
      <c r="J326" s="4"/>
      <c r="M326" s="4"/>
    </row>
    <row r="327">
      <c r="J327" s="4"/>
      <c r="M327" s="4"/>
    </row>
    <row r="328">
      <c r="J328" s="4"/>
      <c r="M328" s="4"/>
    </row>
    <row r="329">
      <c r="J329" s="4"/>
      <c r="M329" s="4"/>
    </row>
    <row r="330">
      <c r="J330" s="4"/>
      <c r="M330" s="4"/>
    </row>
    <row r="331">
      <c r="J331" s="4"/>
      <c r="M331" s="4"/>
    </row>
    <row r="332">
      <c r="J332" s="4"/>
      <c r="M332" s="4"/>
    </row>
    <row r="333">
      <c r="J333" s="4"/>
      <c r="M333" s="4"/>
    </row>
    <row r="334">
      <c r="J334" s="4"/>
      <c r="M334" s="4"/>
    </row>
    <row r="335">
      <c r="J335" s="4"/>
      <c r="M335" s="4"/>
    </row>
    <row r="336">
      <c r="J336" s="4"/>
      <c r="M336" s="4"/>
    </row>
    <row r="337">
      <c r="J337" s="4"/>
      <c r="M337" s="4"/>
    </row>
    <row r="338">
      <c r="J338" s="4"/>
      <c r="M338" s="4"/>
    </row>
    <row r="339">
      <c r="J339" s="4"/>
      <c r="M339" s="4"/>
    </row>
    <row r="340">
      <c r="J340" s="4"/>
      <c r="M340" s="4"/>
    </row>
    <row r="341">
      <c r="J341" s="4"/>
      <c r="M341" s="4"/>
    </row>
    <row r="342">
      <c r="J342" s="4"/>
      <c r="M342" s="4"/>
    </row>
    <row r="343">
      <c r="J343" s="4"/>
      <c r="M343" s="4"/>
    </row>
    <row r="344">
      <c r="J344" s="4"/>
      <c r="M344" s="4"/>
    </row>
    <row r="345">
      <c r="J345" s="4"/>
      <c r="M345" s="4"/>
    </row>
    <row r="346">
      <c r="J346" s="4"/>
      <c r="M346" s="4"/>
    </row>
    <row r="347">
      <c r="J347" s="4"/>
      <c r="M347" s="4"/>
    </row>
    <row r="348">
      <c r="J348" s="4"/>
      <c r="M348" s="4"/>
    </row>
    <row r="349">
      <c r="J349" s="4"/>
      <c r="M349" s="4"/>
    </row>
    <row r="350">
      <c r="J350" s="4"/>
      <c r="M350" s="4"/>
    </row>
    <row r="351">
      <c r="J351" s="4"/>
      <c r="M351" s="4"/>
    </row>
    <row r="352">
      <c r="J352" s="4"/>
      <c r="M352" s="4"/>
    </row>
    <row r="353">
      <c r="J353" s="4"/>
      <c r="M353" s="4"/>
    </row>
    <row r="354">
      <c r="J354" s="4"/>
      <c r="M354" s="4"/>
    </row>
    <row r="355">
      <c r="J355" s="4"/>
      <c r="M355" s="4"/>
    </row>
    <row r="356">
      <c r="J356" s="4"/>
      <c r="M356" s="4"/>
    </row>
    <row r="357">
      <c r="J357" s="4"/>
      <c r="M357" s="4"/>
    </row>
    <row r="358">
      <c r="J358" s="4"/>
      <c r="M358" s="4"/>
    </row>
    <row r="359">
      <c r="J359" s="4"/>
      <c r="M359" s="4"/>
    </row>
    <row r="360">
      <c r="J360" s="4"/>
      <c r="M360" s="4"/>
    </row>
    <row r="361">
      <c r="J361" s="4"/>
      <c r="M361" s="4"/>
    </row>
    <row r="362">
      <c r="J362" s="4"/>
      <c r="M362" s="4"/>
    </row>
    <row r="363">
      <c r="J363" s="4"/>
      <c r="M363" s="4"/>
    </row>
    <row r="364">
      <c r="J364" s="4"/>
      <c r="M364" s="4"/>
    </row>
    <row r="365">
      <c r="J365" s="4"/>
      <c r="M365" s="4"/>
    </row>
    <row r="366">
      <c r="J366" s="4"/>
      <c r="M366" s="4"/>
    </row>
    <row r="367">
      <c r="J367" s="4"/>
      <c r="M367" s="4"/>
    </row>
    <row r="368">
      <c r="J368" s="4"/>
      <c r="M368" s="4"/>
    </row>
    <row r="369">
      <c r="J369" s="4"/>
      <c r="M369" s="4"/>
    </row>
    <row r="370">
      <c r="J370" s="4"/>
      <c r="M370" s="4"/>
    </row>
    <row r="371">
      <c r="J371" s="4"/>
      <c r="M371" s="4"/>
    </row>
    <row r="372">
      <c r="J372" s="4"/>
      <c r="M372" s="4"/>
    </row>
    <row r="373">
      <c r="J373" s="4"/>
      <c r="M373" s="4"/>
    </row>
    <row r="374">
      <c r="J374" s="4"/>
      <c r="M374" s="4"/>
    </row>
    <row r="375">
      <c r="J375" s="4"/>
      <c r="M375" s="4"/>
    </row>
    <row r="376">
      <c r="J376" s="4"/>
      <c r="M376" s="4"/>
    </row>
    <row r="377">
      <c r="J377" s="4"/>
      <c r="M377" s="4"/>
    </row>
    <row r="378">
      <c r="J378" s="4"/>
      <c r="M378" s="4"/>
    </row>
    <row r="379">
      <c r="J379" s="4"/>
      <c r="M379" s="4"/>
    </row>
    <row r="380">
      <c r="J380" s="4"/>
      <c r="M380" s="4"/>
    </row>
    <row r="381">
      <c r="J381" s="4"/>
      <c r="M381" s="4"/>
    </row>
    <row r="382">
      <c r="J382" s="4"/>
      <c r="M382" s="4"/>
    </row>
    <row r="383">
      <c r="J383" s="4"/>
      <c r="M383" s="4"/>
    </row>
    <row r="384">
      <c r="J384" s="4"/>
      <c r="M384" s="4"/>
    </row>
    <row r="385">
      <c r="J385" s="4"/>
      <c r="M385" s="4"/>
    </row>
    <row r="386">
      <c r="J386" s="4"/>
      <c r="M386" s="4"/>
    </row>
    <row r="387">
      <c r="J387" s="4"/>
      <c r="M387" s="4"/>
    </row>
    <row r="388">
      <c r="J388" s="4"/>
      <c r="M388" s="4"/>
    </row>
    <row r="389">
      <c r="J389" s="4"/>
      <c r="M389" s="4"/>
    </row>
    <row r="390">
      <c r="J390" s="4"/>
      <c r="M390" s="4"/>
    </row>
    <row r="391">
      <c r="J391" s="4"/>
      <c r="M391" s="4"/>
    </row>
    <row r="392">
      <c r="J392" s="4"/>
      <c r="M392" s="4"/>
    </row>
    <row r="393">
      <c r="J393" s="4"/>
      <c r="M393" s="4"/>
    </row>
    <row r="394">
      <c r="J394" s="4"/>
      <c r="M394" s="4"/>
    </row>
    <row r="395">
      <c r="J395" s="4"/>
      <c r="M395" s="4"/>
    </row>
    <row r="396">
      <c r="J396" s="4"/>
      <c r="M396" s="4"/>
    </row>
    <row r="397">
      <c r="J397" s="4"/>
      <c r="M397" s="4"/>
    </row>
    <row r="398">
      <c r="J398" s="4"/>
      <c r="M398" s="4"/>
    </row>
    <row r="399">
      <c r="J399" s="4"/>
      <c r="M399" s="4"/>
    </row>
    <row r="400">
      <c r="J400" s="4"/>
      <c r="M400" s="4"/>
    </row>
    <row r="401">
      <c r="J401" s="4"/>
      <c r="M401" s="4"/>
    </row>
    <row r="402">
      <c r="J402" s="4"/>
      <c r="M402" s="4"/>
    </row>
    <row r="403">
      <c r="J403" s="4"/>
      <c r="M403" s="4"/>
    </row>
    <row r="404">
      <c r="J404" s="4"/>
      <c r="M404" s="4"/>
    </row>
    <row r="405">
      <c r="J405" s="4"/>
      <c r="M405" s="4"/>
    </row>
    <row r="406">
      <c r="J406" s="4"/>
      <c r="M406" s="4"/>
    </row>
    <row r="407">
      <c r="J407" s="4"/>
      <c r="M407" s="4"/>
    </row>
    <row r="408">
      <c r="J408" s="4"/>
      <c r="M408" s="4"/>
    </row>
    <row r="409">
      <c r="J409" s="4"/>
      <c r="M409" s="4"/>
    </row>
    <row r="410">
      <c r="J410" s="4"/>
      <c r="M410" s="4"/>
    </row>
    <row r="411">
      <c r="J411" s="4"/>
      <c r="M411" s="4"/>
    </row>
    <row r="412">
      <c r="J412" s="4"/>
      <c r="M412" s="4"/>
    </row>
    <row r="413">
      <c r="J413" s="4"/>
      <c r="M413" s="4"/>
    </row>
    <row r="414">
      <c r="J414" s="4"/>
      <c r="M414" s="4"/>
    </row>
    <row r="415">
      <c r="J415" s="4"/>
      <c r="M415" s="4"/>
    </row>
    <row r="416">
      <c r="J416" s="4"/>
      <c r="M416" s="4"/>
    </row>
    <row r="417">
      <c r="J417" s="4"/>
      <c r="M417" s="4"/>
    </row>
    <row r="418">
      <c r="J418" s="4"/>
      <c r="M418" s="4"/>
    </row>
    <row r="419">
      <c r="J419" s="4"/>
      <c r="M419" s="4"/>
    </row>
    <row r="420">
      <c r="J420" s="4"/>
      <c r="M420" s="4"/>
    </row>
    <row r="421">
      <c r="J421" s="4"/>
      <c r="M421" s="4"/>
    </row>
    <row r="422">
      <c r="J422" s="4"/>
      <c r="M422" s="4"/>
    </row>
    <row r="423">
      <c r="J423" s="4"/>
      <c r="M423" s="4"/>
    </row>
    <row r="424">
      <c r="J424" s="4"/>
      <c r="M424" s="4"/>
    </row>
    <row r="425">
      <c r="J425" s="4"/>
      <c r="M425" s="4"/>
    </row>
    <row r="426">
      <c r="J426" s="4"/>
      <c r="M426" s="4"/>
    </row>
    <row r="427">
      <c r="J427" s="4"/>
      <c r="M427" s="4"/>
    </row>
    <row r="428">
      <c r="J428" s="4"/>
      <c r="M428" s="4"/>
    </row>
    <row r="429">
      <c r="J429" s="4"/>
      <c r="M429" s="4"/>
    </row>
    <row r="430">
      <c r="J430" s="4"/>
      <c r="M430" s="4"/>
    </row>
    <row r="431">
      <c r="J431" s="4"/>
      <c r="M431" s="4"/>
    </row>
    <row r="432">
      <c r="J432" s="4"/>
      <c r="M432" s="4"/>
    </row>
    <row r="433">
      <c r="J433" s="4"/>
      <c r="M433" s="4"/>
    </row>
    <row r="434">
      <c r="J434" s="4"/>
      <c r="M434" s="4"/>
    </row>
    <row r="435">
      <c r="J435" s="4"/>
      <c r="M435" s="4"/>
    </row>
    <row r="436">
      <c r="J436" s="4"/>
      <c r="M436" s="4"/>
    </row>
    <row r="437">
      <c r="J437" s="4"/>
      <c r="M437" s="4"/>
    </row>
    <row r="438">
      <c r="J438" s="4"/>
      <c r="M438" s="4"/>
    </row>
    <row r="439">
      <c r="J439" s="4"/>
      <c r="M439" s="4"/>
    </row>
    <row r="440">
      <c r="J440" s="4"/>
      <c r="M440" s="4"/>
    </row>
    <row r="441">
      <c r="J441" s="4"/>
      <c r="M441" s="4"/>
    </row>
    <row r="442">
      <c r="J442" s="4"/>
      <c r="M442" s="4"/>
    </row>
    <row r="443">
      <c r="J443" s="4"/>
      <c r="M443" s="4"/>
    </row>
    <row r="444">
      <c r="J444" s="4"/>
      <c r="M444" s="4"/>
    </row>
    <row r="445">
      <c r="J445" s="4"/>
      <c r="M445" s="4"/>
    </row>
    <row r="446">
      <c r="J446" s="4"/>
      <c r="M446" s="4"/>
    </row>
    <row r="447">
      <c r="J447" s="4"/>
      <c r="M447" s="4"/>
    </row>
    <row r="448">
      <c r="J448" s="4"/>
      <c r="M448" s="4"/>
    </row>
    <row r="449">
      <c r="J449" s="4"/>
      <c r="M449" s="4"/>
    </row>
    <row r="450">
      <c r="J450" s="4"/>
      <c r="M450" s="4"/>
    </row>
    <row r="451">
      <c r="J451" s="4"/>
      <c r="M451" s="4"/>
    </row>
    <row r="452">
      <c r="J452" s="4"/>
      <c r="M452" s="4"/>
    </row>
    <row r="453">
      <c r="J453" s="4"/>
      <c r="M453" s="4"/>
    </row>
    <row r="454">
      <c r="J454" s="4"/>
      <c r="M454" s="4"/>
    </row>
    <row r="455">
      <c r="J455" s="4"/>
      <c r="M455" s="4"/>
    </row>
    <row r="456">
      <c r="J456" s="4"/>
      <c r="M456" s="4"/>
    </row>
    <row r="457">
      <c r="J457" s="4"/>
      <c r="M457" s="4"/>
    </row>
    <row r="458">
      <c r="J458" s="4"/>
      <c r="M458" s="4"/>
    </row>
    <row r="459">
      <c r="J459" s="4"/>
      <c r="M459" s="4"/>
    </row>
    <row r="460">
      <c r="J460" s="4"/>
      <c r="M460" s="4"/>
    </row>
    <row r="461">
      <c r="J461" s="4"/>
      <c r="M461" s="4"/>
    </row>
    <row r="462">
      <c r="J462" s="4"/>
      <c r="M462" s="4"/>
    </row>
    <row r="463">
      <c r="J463" s="4"/>
      <c r="M463" s="4"/>
    </row>
    <row r="464">
      <c r="J464" s="4"/>
      <c r="M464" s="4"/>
    </row>
    <row r="465">
      <c r="J465" s="4"/>
      <c r="M465" s="4"/>
    </row>
    <row r="466">
      <c r="J466" s="4"/>
      <c r="M466" s="4"/>
    </row>
    <row r="467">
      <c r="J467" s="4"/>
      <c r="M467" s="4"/>
    </row>
    <row r="468">
      <c r="J468" s="4"/>
      <c r="M468" s="4"/>
    </row>
    <row r="469">
      <c r="J469" s="4"/>
      <c r="M469" s="4"/>
    </row>
    <row r="470">
      <c r="J470" s="4"/>
      <c r="M470" s="4"/>
    </row>
    <row r="471">
      <c r="J471" s="4"/>
      <c r="M471" s="4"/>
    </row>
    <row r="472">
      <c r="J472" s="4"/>
      <c r="M472" s="4"/>
    </row>
    <row r="473">
      <c r="J473" s="4"/>
      <c r="M473" s="4"/>
    </row>
    <row r="474">
      <c r="J474" s="4"/>
      <c r="M474" s="4"/>
    </row>
    <row r="475">
      <c r="J475" s="4"/>
      <c r="M475" s="4"/>
    </row>
    <row r="476">
      <c r="J476" s="4"/>
      <c r="M476" s="4"/>
    </row>
    <row r="477">
      <c r="J477" s="4"/>
      <c r="M477" s="4"/>
    </row>
    <row r="478">
      <c r="J478" s="4"/>
      <c r="M478" s="4"/>
    </row>
    <row r="479">
      <c r="J479" s="4"/>
      <c r="M479" s="4"/>
    </row>
    <row r="480">
      <c r="J480" s="4"/>
      <c r="M480" s="4"/>
    </row>
    <row r="481">
      <c r="J481" s="4"/>
      <c r="M481" s="4"/>
    </row>
    <row r="482">
      <c r="J482" s="4"/>
      <c r="M482" s="4"/>
    </row>
    <row r="483">
      <c r="J483" s="4"/>
      <c r="M483" s="4"/>
    </row>
    <row r="484">
      <c r="J484" s="4"/>
      <c r="M484" s="4"/>
    </row>
    <row r="485">
      <c r="J485" s="4"/>
      <c r="M485" s="4"/>
    </row>
    <row r="486">
      <c r="J486" s="4"/>
      <c r="M486" s="4"/>
    </row>
    <row r="487">
      <c r="J487" s="4"/>
      <c r="M487" s="4"/>
    </row>
    <row r="488">
      <c r="J488" s="4"/>
      <c r="M488" s="4"/>
    </row>
    <row r="489">
      <c r="J489" s="4"/>
      <c r="M489" s="4"/>
    </row>
    <row r="490">
      <c r="J490" s="4"/>
      <c r="M490" s="4"/>
    </row>
    <row r="491">
      <c r="J491" s="4"/>
      <c r="M491" s="4"/>
    </row>
    <row r="492">
      <c r="J492" s="4"/>
      <c r="M492" s="4"/>
    </row>
    <row r="493">
      <c r="J493" s="4"/>
      <c r="M493" s="4"/>
    </row>
    <row r="494">
      <c r="J494" s="4"/>
      <c r="M494" s="4"/>
    </row>
    <row r="495">
      <c r="J495" s="4"/>
      <c r="M495" s="4"/>
    </row>
    <row r="496">
      <c r="J496" s="4"/>
      <c r="M496" s="4"/>
    </row>
    <row r="497">
      <c r="J497" s="4"/>
      <c r="M497" s="4"/>
    </row>
    <row r="498">
      <c r="J498" s="4"/>
      <c r="M498" s="4"/>
    </row>
    <row r="499">
      <c r="J499" s="4"/>
      <c r="M499" s="4"/>
    </row>
    <row r="500">
      <c r="J500" s="4"/>
      <c r="M500" s="4"/>
    </row>
    <row r="501">
      <c r="J501" s="4"/>
      <c r="M501" s="4"/>
    </row>
    <row r="502">
      <c r="J502" s="4"/>
      <c r="M502" s="4"/>
    </row>
    <row r="503">
      <c r="J503" s="4"/>
      <c r="M503" s="4"/>
    </row>
    <row r="504">
      <c r="J504" s="4"/>
      <c r="M504" s="4"/>
    </row>
    <row r="505">
      <c r="J505" s="4"/>
      <c r="M505" s="4"/>
    </row>
    <row r="506">
      <c r="J506" s="4"/>
      <c r="M506" s="4"/>
    </row>
    <row r="507">
      <c r="J507" s="4"/>
      <c r="M507" s="4"/>
    </row>
    <row r="508">
      <c r="J508" s="4"/>
      <c r="M508" s="4"/>
    </row>
    <row r="509">
      <c r="J509" s="4"/>
      <c r="M509" s="4"/>
    </row>
    <row r="510">
      <c r="J510" s="4"/>
      <c r="M510" s="4"/>
    </row>
    <row r="511">
      <c r="J511" s="4"/>
      <c r="M511" s="4"/>
    </row>
    <row r="512">
      <c r="J512" s="4"/>
      <c r="M512" s="4"/>
    </row>
    <row r="513">
      <c r="J513" s="4"/>
      <c r="M513" s="4"/>
    </row>
    <row r="514">
      <c r="J514" s="4"/>
      <c r="M514" s="4"/>
    </row>
    <row r="515">
      <c r="J515" s="4"/>
      <c r="M515" s="4"/>
    </row>
    <row r="516">
      <c r="J516" s="4"/>
      <c r="M516" s="4"/>
    </row>
    <row r="517">
      <c r="J517" s="4"/>
      <c r="M517" s="4"/>
    </row>
    <row r="518">
      <c r="J518" s="4"/>
      <c r="M518" s="4"/>
    </row>
    <row r="519">
      <c r="J519" s="4"/>
      <c r="M519" s="4"/>
    </row>
    <row r="520">
      <c r="J520" s="4"/>
      <c r="M520" s="4"/>
    </row>
    <row r="521">
      <c r="J521" s="4"/>
      <c r="M521" s="4"/>
    </row>
    <row r="522">
      <c r="J522" s="4"/>
      <c r="M522" s="4"/>
    </row>
    <row r="523">
      <c r="J523" s="4"/>
      <c r="M523" s="4"/>
    </row>
    <row r="524">
      <c r="J524" s="4"/>
      <c r="M524" s="4"/>
    </row>
    <row r="525">
      <c r="J525" s="4"/>
      <c r="M525" s="4"/>
    </row>
    <row r="526">
      <c r="J526" s="4"/>
      <c r="M526" s="4"/>
    </row>
    <row r="527">
      <c r="J527" s="4"/>
      <c r="M527" s="4"/>
    </row>
    <row r="528">
      <c r="J528" s="4"/>
      <c r="M528" s="4"/>
    </row>
    <row r="529">
      <c r="J529" s="4"/>
      <c r="M529" s="4"/>
    </row>
    <row r="530">
      <c r="J530" s="4"/>
      <c r="M530" s="4"/>
    </row>
    <row r="531">
      <c r="J531" s="4"/>
      <c r="M531" s="4"/>
    </row>
    <row r="532">
      <c r="J532" s="4"/>
      <c r="M532" s="4"/>
    </row>
    <row r="533">
      <c r="J533" s="4"/>
      <c r="M533" s="4"/>
    </row>
    <row r="534">
      <c r="J534" s="4"/>
      <c r="M534" s="4"/>
    </row>
    <row r="535">
      <c r="J535" s="4"/>
      <c r="M535" s="4"/>
    </row>
    <row r="536">
      <c r="J536" s="4"/>
      <c r="M536" s="4"/>
    </row>
    <row r="537">
      <c r="J537" s="4"/>
      <c r="M537" s="4"/>
    </row>
    <row r="538">
      <c r="J538" s="4"/>
      <c r="M538" s="4"/>
    </row>
    <row r="539">
      <c r="J539" s="4"/>
      <c r="M539" s="4"/>
    </row>
    <row r="540">
      <c r="J540" s="4"/>
      <c r="M540" s="4"/>
    </row>
    <row r="541">
      <c r="J541" s="4"/>
      <c r="M541" s="4"/>
    </row>
    <row r="542">
      <c r="J542" s="4"/>
      <c r="M542" s="4"/>
    </row>
    <row r="543">
      <c r="J543" s="4"/>
      <c r="M543" s="4"/>
    </row>
    <row r="544">
      <c r="J544" s="4"/>
      <c r="M544" s="4"/>
    </row>
    <row r="545">
      <c r="J545" s="4"/>
      <c r="M545" s="4"/>
    </row>
    <row r="546">
      <c r="J546" s="4"/>
      <c r="M546" s="4"/>
    </row>
    <row r="547">
      <c r="J547" s="4"/>
      <c r="M547" s="4"/>
    </row>
    <row r="548">
      <c r="J548" s="4"/>
      <c r="M548" s="4"/>
    </row>
    <row r="549">
      <c r="J549" s="4"/>
      <c r="M549" s="4"/>
    </row>
    <row r="550">
      <c r="J550" s="4"/>
      <c r="M550" s="4"/>
    </row>
    <row r="551">
      <c r="J551" s="4"/>
      <c r="M551" s="4"/>
    </row>
    <row r="552">
      <c r="J552" s="4"/>
      <c r="M552" s="4"/>
    </row>
    <row r="553">
      <c r="J553" s="4"/>
      <c r="M553" s="4"/>
    </row>
    <row r="554">
      <c r="J554" s="4"/>
      <c r="M554" s="4"/>
    </row>
    <row r="555">
      <c r="J555" s="4"/>
      <c r="M555" s="4"/>
    </row>
    <row r="556">
      <c r="J556" s="4"/>
      <c r="M556" s="4"/>
    </row>
    <row r="557">
      <c r="J557" s="4"/>
      <c r="M557" s="4"/>
    </row>
    <row r="558">
      <c r="J558" s="4"/>
      <c r="M558" s="4"/>
    </row>
    <row r="559">
      <c r="J559" s="4"/>
      <c r="M559" s="4"/>
    </row>
    <row r="560">
      <c r="J560" s="4"/>
      <c r="M560" s="4"/>
    </row>
    <row r="561">
      <c r="J561" s="4"/>
      <c r="M561" s="4"/>
    </row>
    <row r="562">
      <c r="J562" s="4"/>
      <c r="M562" s="4"/>
    </row>
    <row r="563">
      <c r="J563" s="4"/>
      <c r="M563" s="4"/>
    </row>
    <row r="564">
      <c r="J564" s="4"/>
      <c r="M564" s="4"/>
    </row>
    <row r="565">
      <c r="J565" s="4"/>
      <c r="M565" s="4"/>
    </row>
    <row r="566">
      <c r="J566" s="4"/>
      <c r="M566" s="4"/>
    </row>
    <row r="567">
      <c r="J567" s="4"/>
      <c r="M567" s="4"/>
    </row>
    <row r="568">
      <c r="J568" s="4"/>
      <c r="M568" s="4"/>
    </row>
    <row r="569">
      <c r="J569" s="4"/>
      <c r="M569" s="4"/>
    </row>
    <row r="570">
      <c r="J570" s="4"/>
      <c r="M570" s="4"/>
    </row>
    <row r="571">
      <c r="J571" s="4"/>
      <c r="M571" s="4"/>
    </row>
    <row r="572">
      <c r="J572" s="4"/>
      <c r="M572" s="4"/>
    </row>
    <row r="573">
      <c r="J573" s="4"/>
      <c r="M573" s="4"/>
    </row>
    <row r="574">
      <c r="J574" s="4"/>
      <c r="M574" s="4"/>
    </row>
    <row r="575">
      <c r="J575" s="4"/>
      <c r="M575" s="4"/>
    </row>
    <row r="576">
      <c r="J576" s="4"/>
      <c r="M576" s="4"/>
    </row>
    <row r="577">
      <c r="J577" s="4"/>
      <c r="M577" s="4"/>
    </row>
    <row r="578">
      <c r="J578" s="4"/>
      <c r="M578" s="4"/>
    </row>
    <row r="579">
      <c r="J579" s="4"/>
      <c r="M579" s="4"/>
    </row>
    <row r="580">
      <c r="J580" s="4"/>
      <c r="M580" s="4"/>
    </row>
    <row r="581">
      <c r="J581" s="4"/>
      <c r="M581" s="4"/>
    </row>
    <row r="582">
      <c r="J582" s="4"/>
      <c r="M582" s="4"/>
    </row>
    <row r="583">
      <c r="J583" s="4"/>
      <c r="M583" s="4"/>
    </row>
    <row r="584">
      <c r="J584" s="4"/>
      <c r="M584" s="4"/>
    </row>
    <row r="585">
      <c r="J585" s="4"/>
      <c r="M585" s="4"/>
    </row>
    <row r="586">
      <c r="J586" s="4"/>
      <c r="M586" s="4"/>
    </row>
    <row r="587">
      <c r="J587" s="4"/>
      <c r="M587" s="4"/>
    </row>
    <row r="588">
      <c r="J588" s="4"/>
      <c r="M588" s="4"/>
    </row>
    <row r="589">
      <c r="J589" s="4"/>
      <c r="M589" s="4"/>
    </row>
    <row r="590">
      <c r="J590" s="4"/>
      <c r="M590" s="4"/>
    </row>
    <row r="591">
      <c r="J591" s="4"/>
      <c r="M591" s="4"/>
    </row>
    <row r="592">
      <c r="J592" s="4"/>
      <c r="M592" s="4"/>
    </row>
    <row r="593">
      <c r="J593" s="4"/>
      <c r="M593" s="4"/>
    </row>
    <row r="594">
      <c r="J594" s="4"/>
      <c r="M594" s="4"/>
    </row>
    <row r="595">
      <c r="J595" s="4"/>
      <c r="M595" s="4"/>
    </row>
    <row r="596">
      <c r="J596" s="4"/>
      <c r="M596" s="4"/>
    </row>
    <row r="597">
      <c r="J597" s="4"/>
      <c r="M597" s="4"/>
    </row>
    <row r="598">
      <c r="J598" s="4"/>
      <c r="M598" s="4"/>
    </row>
    <row r="599">
      <c r="J599" s="4"/>
      <c r="M599" s="4"/>
    </row>
    <row r="600">
      <c r="J600" s="4"/>
      <c r="M600" s="4"/>
    </row>
    <row r="601">
      <c r="J601" s="4"/>
      <c r="M601" s="4"/>
    </row>
    <row r="602">
      <c r="J602" s="4"/>
      <c r="M602" s="4"/>
    </row>
    <row r="603">
      <c r="J603" s="4"/>
      <c r="M603" s="4"/>
    </row>
    <row r="604">
      <c r="J604" s="4"/>
      <c r="M604" s="4"/>
    </row>
    <row r="605">
      <c r="J605" s="4"/>
      <c r="M605" s="4"/>
    </row>
    <row r="606">
      <c r="J606" s="4"/>
      <c r="M606" s="4"/>
    </row>
    <row r="607">
      <c r="J607" s="4"/>
      <c r="M607" s="4"/>
    </row>
    <row r="608">
      <c r="J608" s="4"/>
      <c r="M608" s="4"/>
    </row>
    <row r="609">
      <c r="J609" s="4"/>
      <c r="M609" s="4"/>
    </row>
    <row r="610">
      <c r="J610" s="4"/>
      <c r="M610" s="4"/>
    </row>
    <row r="611">
      <c r="J611" s="4"/>
      <c r="M611" s="4"/>
    </row>
    <row r="612">
      <c r="J612" s="4"/>
      <c r="M612" s="4"/>
    </row>
    <row r="613">
      <c r="J613" s="4"/>
      <c r="M613" s="4"/>
    </row>
    <row r="614">
      <c r="J614" s="4"/>
      <c r="M614" s="4"/>
    </row>
    <row r="615">
      <c r="J615" s="4"/>
      <c r="M615" s="4"/>
    </row>
    <row r="616">
      <c r="J616" s="4"/>
      <c r="M616" s="4"/>
    </row>
    <row r="617">
      <c r="J617" s="4"/>
      <c r="M617" s="4"/>
    </row>
    <row r="618">
      <c r="J618" s="4"/>
      <c r="M618" s="4"/>
    </row>
    <row r="619">
      <c r="J619" s="4"/>
      <c r="M619" s="4"/>
    </row>
    <row r="620">
      <c r="J620" s="4"/>
      <c r="M620" s="4"/>
    </row>
    <row r="621">
      <c r="J621" s="4"/>
      <c r="M621" s="4"/>
    </row>
    <row r="622">
      <c r="J622" s="4"/>
      <c r="M622" s="4"/>
    </row>
    <row r="623">
      <c r="J623" s="4"/>
      <c r="M623" s="4"/>
    </row>
    <row r="624">
      <c r="J624" s="4"/>
      <c r="M624" s="4"/>
    </row>
    <row r="625">
      <c r="J625" s="4"/>
      <c r="M625" s="4"/>
    </row>
    <row r="626">
      <c r="J626" s="4"/>
      <c r="M626" s="4"/>
    </row>
    <row r="627">
      <c r="J627" s="4"/>
      <c r="M627" s="4"/>
    </row>
    <row r="628">
      <c r="J628" s="4"/>
      <c r="M628" s="4"/>
    </row>
    <row r="629">
      <c r="J629" s="4"/>
      <c r="M629" s="4"/>
    </row>
    <row r="630">
      <c r="J630" s="4"/>
      <c r="M630" s="4"/>
    </row>
    <row r="631">
      <c r="J631" s="4"/>
      <c r="M631" s="4"/>
    </row>
    <row r="632">
      <c r="J632" s="4"/>
      <c r="M632" s="4"/>
    </row>
    <row r="633">
      <c r="J633" s="4"/>
      <c r="M633" s="4"/>
    </row>
    <row r="634">
      <c r="J634" s="4"/>
      <c r="M634" s="4"/>
    </row>
    <row r="635">
      <c r="J635" s="4"/>
      <c r="M635" s="4"/>
    </row>
    <row r="636">
      <c r="J636" s="4"/>
      <c r="M636" s="4"/>
    </row>
    <row r="637">
      <c r="J637" s="4"/>
      <c r="M637" s="4"/>
    </row>
    <row r="638">
      <c r="J638" s="4"/>
      <c r="M638" s="4"/>
    </row>
    <row r="639">
      <c r="J639" s="4"/>
      <c r="M639" s="4"/>
    </row>
    <row r="640">
      <c r="J640" s="4"/>
      <c r="M640" s="4"/>
    </row>
    <row r="641">
      <c r="J641" s="4"/>
      <c r="M641" s="4"/>
    </row>
    <row r="642">
      <c r="J642" s="4"/>
      <c r="M642" s="4"/>
    </row>
    <row r="643">
      <c r="J643" s="4"/>
      <c r="M643" s="4"/>
    </row>
    <row r="644">
      <c r="J644" s="4"/>
      <c r="M644" s="4"/>
    </row>
    <row r="645">
      <c r="J645" s="4"/>
      <c r="M645" s="4"/>
    </row>
    <row r="646">
      <c r="J646" s="4"/>
      <c r="M646" s="4"/>
    </row>
    <row r="647">
      <c r="J647" s="4"/>
      <c r="M647" s="4"/>
    </row>
    <row r="648">
      <c r="J648" s="4"/>
      <c r="M648" s="4"/>
    </row>
    <row r="649">
      <c r="J649" s="4"/>
      <c r="M649" s="4"/>
    </row>
    <row r="650">
      <c r="J650" s="4"/>
      <c r="M650" s="4"/>
    </row>
    <row r="651">
      <c r="J651" s="4"/>
      <c r="M651" s="4"/>
    </row>
    <row r="652">
      <c r="J652" s="4"/>
      <c r="M652" s="4"/>
    </row>
    <row r="653">
      <c r="J653" s="4"/>
      <c r="M653" s="4"/>
    </row>
    <row r="654">
      <c r="J654" s="4"/>
      <c r="M654" s="4"/>
    </row>
    <row r="655">
      <c r="J655" s="4"/>
      <c r="M655" s="4"/>
    </row>
    <row r="656">
      <c r="J656" s="4"/>
      <c r="M656" s="4"/>
    </row>
    <row r="657">
      <c r="J657" s="4"/>
      <c r="M657" s="4"/>
    </row>
    <row r="658">
      <c r="J658" s="4"/>
      <c r="M658" s="4"/>
    </row>
    <row r="659">
      <c r="J659" s="4"/>
      <c r="M659" s="4"/>
    </row>
    <row r="660">
      <c r="J660" s="4"/>
      <c r="M660" s="4"/>
    </row>
    <row r="661">
      <c r="J661" s="4"/>
      <c r="M661" s="4"/>
    </row>
    <row r="662">
      <c r="J662" s="4"/>
      <c r="M662" s="4"/>
    </row>
    <row r="663">
      <c r="J663" s="4"/>
      <c r="M663" s="4"/>
    </row>
    <row r="664">
      <c r="J664" s="4"/>
      <c r="M664" s="4"/>
    </row>
    <row r="665">
      <c r="J665" s="4"/>
      <c r="M665" s="4"/>
    </row>
    <row r="666">
      <c r="J666" s="4"/>
      <c r="M666" s="4"/>
    </row>
    <row r="667">
      <c r="J667" s="4"/>
      <c r="M667" s="4"/>
    </row>
    <row r="668">
      <c r="J668" s="4"/>
      <c r="M668" s="4"/>
    </row>
    <row r="669">
      <c r="J669" s="4"/>
      <c r="M669" s="4"/>
    </row>
    <row r="670">
      <c r="J670" s="4"/>
      <c r="M670" s="4"/>
    </row>
    <row r="671">
      <c r="J671" s="4"/>
      <c r="M671" s="4"/>
    </row>
    <row r="672">
      <c r="J672" s="4"/>
      <c r="M672" s="4"/>
    </row>
    <row r="673">
      <c r="J673" s="4"/>
      <c r="M673" s="4"/>
    </row>
    <row r="674">
      <c r="J674" s="4"/>
      <c r="M674" s="4"/>
    </row>
    <row r="675">
      <c r="J675" s="4"/>
      <c r="M675" s="4"/>
    </row>
    <row r="676">
      <c r="J676" s="4"/>
      <c r="M676" s="4"/>
    </row>
    <row r="677">
      <c r="J677" s="4"/>
      <c r="M677" s="4"/>
    </row>
    <row r="678">
      <c r="J678" s="4"/>
      <c r="M678" s="4"/>
    </row>
    <row r="679">
      <c r="J679" s="4"/>
      <c r="M679" s="4"/>
    </row>
    <row r="680">
      <c r="J680" s="4"/>
      <c r="M680" s="4"/>
    </row>
    <row r="681">
      <c r="J681" s="4"/>
      <c r="M681" s="4"/>
    </row>
    <row r="682">
      <c r="J682" s="4"/>
      <c r="M682" s="4"/>
    </row>
    <row r="683">
      <c r="J683" s="4"/>
      <c r="M683" s="4"/>
    </row>
    <row r="684">
      <c r="J684" s="4"/>
      <c r="M684" s="4"/>
    </row>
    <row r="685">
      <c r="J685" s="4"/>
      <c r="M685" s="4"/>
    </row>
    <row r="686">
      <c r="J686" s="4"/>
      <c r="M686" s="4"/>
    </row>
    <row r="687">
      <c r="J687" s="4"/>
      <c r="M687" s="4"/>
    </row>
    <row r="688">
      <c r="J688" s="4"/>
      <c r="M688" s="4"/>
    </row>
    <row r="689">
      <c r="J689" s="4"/>
      <c r="M689" s="4"/>
    </row>
    <row r="690">
      <c r="J690" s="4"/>
      <c r="M690" s="4"/>
    </row>
    <row r="691">
      <c r="J691" s="4"/>
      <c r="M691" s="4"/>
    </row>
    <row r="692">
      <c r="J692" s="4"/>
      <c r="M692" s="4"/>
    </row>
    <row r="693">
      <c r="J693" s="4"/>
      <c r="M693" s="4"/>
    </row>
    <row r="694">
      <c r="J694" s="4"/>
      <c r="M694" s="4"/>
    </row>
    <row r="695">
      <c r="J695" s="4"/>
      <c r="M695" s="4"/>
    </row>
    <row r="696">
      <c r="J696" s="4"/>
      <c r="M696" s="4"/>
    </row>
    <row r="697">
      <c r="J697" s="4"/>
      <c r="M697" s="4"/>
    </row>
    <row r="698">
      <c r="J698" s="4"/>
      <c r="M698" s="4"/>
    </row>
    <row r="699">
      <c r="J699" s="4"/>
      <c r="M699" s="4"/>
    </row>
    <row r="700">
      <c r="J700" s="4"/>
      <c r="M700" s="4"/>
    </row>
    <row r="701">
      <c r="J701" s="4"/>
      <c r="M701" s="4"/>
    </row>
    <row r="702">
      <c r="J702" s="4"/>
      <c r="M702" s="4"/>
    </row>
    <row r="703">
      <c r="J703" s="4"/>
      <c r="M703" s="4"/>
    </row>
    <row r="704">
      <c r="J704" s="4"/>
      <c r="M704" s="4"/>
    </row>
    <row r="705">
      <c r="J705" s="4"/>
      <c r="M705" s="4"/>
    </row>
    <row r="706">
      <c r="J706" s="4"/>
      <c r="M706" s="4"/>
    </row>
    <row r="707">
      <c r="J707" s="4"/>
      <c r="M707" s="4"/>
    </row>
    <row r="708">
      <c r="J708" s="4"/>
      <c r="M708" s="4"/>
    </row>
    <row r="709">
      <c r="J709" s="4"/>
      <c r="M709" s="4"/>
    </row>
    <row r="710">
      <c r="J710" s="4"/>
      <c r="M710" s="4"/>
    </row>
    <row r="711">
      <c r="J711" s="4"/>
      <c r="M711" s="4"/>
    </row>
    <row r="712">
      <c r="J712" s="4"/>
      <c r="M712" s="4"/>
    </row>
    <row r="713">
      <c r="J713" s="4"/>
      <c r="M713" s="4"/>
    </row>
    <row r="714">
      <c r="J714" s="4"/>
      <c r="M714" s="4"/>
    </row>
    <row r="715">
      <c r="J715" s="4"/>
      <c r="M715" s="4"/>
    </row>
    <row r="716">
      <c r="J716" s="4"/>
      <c r="M716" s="4"/>
    </row>
    <row r="717">
      <c r="J717" s="4"/>
      <c r="M717" s="4"/>
    </row>
    <row r="718">
      <c r="J718" s="4"/>
      <c r="M718" s="4"/>
    </row>
    <row r="719">
      <c r="J719" s="4"/>
      <c r="M719" s="4"/>
    </row>
    <row r="720">
      <c r="J720" s="4"/>
      <c r="M720" s="4"/>
    </row>
    <row r="721">
      <c r="J721" s="4"/>
      <c r="M721" s="4"/>
    </row>
    <row r="722">
      <c r="J722" s="4"/>
      <c r="M722" s="4"/>
    </row>
    <row r="723">
      <c r="J723" s="4"/>
      <c r="M723" s="4"/>
    </row>
    <row r="724">
      <c r="J724" s="4"/>
      <c r="M724" s="4"/>
    </row>
    <row r="725">
      <c r="J725" s="4"/>
      <c r="M725" s="4"/>
    </row>
    <row r="726">
      <c r="J726" s="4"/>
      <c r="M726" s="4"/>
    </row>
    <row r="727">
      <c r="J727" s="4"/>
      <c r="M727" s="4"/>
    </row>
    <row r="728">
      <c r="J728" s="4"/>
      <c r="M728" s="4"/>
    </row>
    <row r="729">
      <c r="J729" s="4"/>
      <c r="M729" s="4"/>
    </row>
    <row r="730">
      <c r="J730" s="4"/>
      <c r="M730" s="4"/>
    </row>
    <row r="731">
      <c r="J731" s="4"/>
      <c r="M731" s="4"/>
    </row>
    <row r="732">
      <c r="J732" s="4"/>
      <c r="M732" s="4"/>
    </row>
    <row r="733">
      <c r="J733" s="4"/>
      <c r="M733" s="4"/>
    </row>
    <row r="734">
      <c r="J734" s="4"/>
      <c r="M734" s="4"/>
    </row>
    <row r="735">
      <c r="J735" s="4"/>
      <c r="M735" s="4"/>
    </row>
    <row r="736">
      <c r="J736" s="4"/>
      <c r="M736" s="4"/>
    </row>
    <row r="737">
      <c r="J737" s="4"/>
      <c r="M737" s="4"/>
    </row>
    <row r="738">
      <c r="J738" s="4"/>
      <c r="M738" s="4"/>
    </row>
    <row r="739">
      <c r="J739" s="4"/>
      <c r="M739" s="4"/>
    </row>
    <row r="740">
      <c r="J740" s="4"/>
      <c r="M740" s="4"/>
    </row>
    <row r="741">
      <c r="J741" s="4"/>
      <c r="M741" s="4"/>
    </row>
    <row r="742">
      <c r="J742" s="4"/>
      <c r="M742" s="4"/>
    </row>
    <row r="743">
      <c r="J743" s="4"/>
      <c r="M743" s="4"/>
    </row>
    <row r="744">
      <c r="J744" s="4"/>
      <c r="M744" s="4"/>
    </row>
    <row r="745">
      <c r="J745" s="4"/>
      <c r="M745" s="4"/>
    </row>
    <row r="746">
      <c r="J746" s="4"/>
      <c r="M746" s="4"/>
    </row>
    <row r="747">
      <c r="J747" s="4"/>
      <c r="M747" s="4"/>
    </row>
    <row r="748">
      <c r="J748" s="4"/>
      <c r="M748" s="4"/>
    </row>
    <row r="749">
      <c r="J749" s="4"/>
      <c r="M749" s="4"/>
    </row>
    <row r="750">
      <c r="J750" s="4"/>
      <c r="M750" s="4"/>
    </row>
    <row r="751">
      <c r="J751" s="4"/>
      <c r="M751" s="4"/>
    </row>
    <row r="752">
      <c r="J752" s="4"/>
      <c r="M752" s="4"/>
    </row>
    <row r="753">
      <c r="J753" s="4"/>
      <c r="M753" s="4"/>
    </row>
    <row r="754">
      <c r="J754" s="4"/>
      <c r="M754" s="4"/>
    </row>
    <row r="755">
      <c r="J755" s="4"/>
      <c r="M755" s="4"/>
    </row>
    <row r="756">
      <c r="J756" s="4"/>
      <c r="M756" s="4"/>
    </row>
    <row r="757">
      <c r="J757" s="4"/>
      <c r="M757" s="4"/>
    </row>
    <row r="758">
      <c r="J758" s="4"/>
      <c r="M758" s="4"/>
    </row>
    <row r="759">
      <c r="J759" s="4"/>
      <c r="M759" s="4"/>
    </row>
    <row r="760">
      <c r="J760" s="4"/>
      <c r="M760" s="4"/>
    </row>
    <row r="761">
      <c r="J761" s="4"/>
      <c r="M761" s="4"/>
    </row>
    <row r="762">
      <c r="J762" s="4"/>
      <c r="M762" s="4"/>
    </row>
    <row r="763">
      <c r="J763" s="4"/>
      <c r="M763" s="4"/>
    </row>
    <row r="764">
      <c r="J764" s="4"/>
      <c r="M764" s="4"/>
    </row>
    <row r="765">
      <c r="J765" s="4"/>
      <c r="M765" s="4"/>
    </row>
    <row r="766">
      <c r="J766" s="4"/>
      <c r="M766" s="4"/>
    </row>
    <row r="767">
      <c r="J767" s="4"/>
      <c r="M767" s="4"/>
    </row>
    <row r="768">
      <c r="J768" s="4"/>
      <c r="M768" s="4"/>
    </row>
    <row r="769">
      <c r="J769" s="4"/>
      <c r="M769" s="4"/>
    </row>
    <row r="770">
      <c r="J770" s="4"/>
      <c r="M770" s="4"/>
    </row>
    <row r="771">
      <c r="J771" s="4"/>
      <c r="M771" s="4"/>
    </row>
    <row r="772">
      <c r="J772" s="4"/>
      <c r="M772" s="4"/>
    </row>
    <row r="773">
      <c r="J773" s="4"/>
      <c r="M773" s="4"/>
    </row>
    <row r="774">
      <c r="J774" s="4"/>
      <c r="M774" s="4"/>
    </row>
    <row r="775">
      <c r="J775" s="4"/>
      <c r="M775" s="4"/>
    </row>
    <row r="776">
      <c r="J776" s="4"/>
      <c r="M776" s="4"/>
    </row>
    <row r="777">
      <c r="J777" s="4"/>
      <c r="M777" s="4"/>
    </row>
    <row r="778">
      <c r="J778" s="4"/>
      <c r="M778" s="4"/>
    </row>
    <row r="779">
      <c r="J779" s="4"/>
      <c r="M779" s="4"/>
    </row>
    <row r="780">
      <c r="J780" s="4"/>
      <c r="M780" s="4"/>
    </row>
    <row r="781">
      <c r="J781" s="4"/>
      <c r="M781" s="4"/>
    </row>
    <row r="782">
      <c r="J782" s="4"/>
      <c r="M782" s="4"/>
    </row>
    <row r="783">
      <c r="J783" s="4"/>
      <c r="M783" s="4"/>
    </row>
    <row r="784">
      <c r="J784" s="4"/>
      <c r="M784" s="4"/>
    </row>
    <row r="785">
      <c r="J785" s="4"/>
      <c r="M785" s="4"/>
    </row>
    <row r="786">
      <c r="J786" s="4"/>
      <c r="M786" s="4"/>
    </row>
    <row r="787">
      <c r="J787" s="4"/>
      <c r="M787" s="4"/>
    </row>
    <row r="788">
      <c r="J788" s="4"/>
      <c r="M788" s="4"/>
    </row>
    <row r="789">
      <c r="J789" s="4"/>
      <c r="M789" s="4"/>
    </row>
    <row r="790">
      <c r="J790" s="4"/>
      <c r="M790" s="4"/>
    </row>
    <row r="791">
      <c r="J791" s="4"/>
      <c r="M791" s="4"/>
    </row>
    <row r="792">
      <c r="J792" s="4"/>
      <c r="M792" s="4"/>
    </row>
    <row r="793">
      <c r="J793" s="4"/>
      <c r="M793" s="4"/>
    </row>
    <row r="794">
      <c r="J794" s="4"/>
      <c r="M794" s="4"/>
    </row>
    <row r="795">
      <c r="J795" s="4"/>
      <c r="M795" s="4"/>
    </row>
    <row r="796">
      <c r="J796" s="4"/>
      <c r="M796" s="4"/>
    </row>
    <row r="797">
      <c r="J797" s="4"/>
      <c r="M797" s="4"/>
    </row>
    <row r="798">
      <c r="J798" s="4"/>
      <c r="M798" s="4"/>
    </row>
    <row r="799">
      <c r="J799" s="4"/>
      <c r="M799" s="4"/>
    </row>
    <row r="800">
      <c r="J800" s="4"/>
      <c r="M800" s="4"/>
    </row>
    <row r="801">
      <c r="J801" s="4"/>
      <c r="M801" s="4"/>
    </row>
    <row r="802">
      <c r="J802" s="4"/>
      <c r="M802" s="4"/>
    </row>
    <row r="803">
      <c r="J803" s="4"/>
      <c r="M803" s="4"/>
    </row>
    <row r="804">
      <c r="J804" s="4"/>
      <c r="M804" s="4"/>
    </row>
    <row r="805">
      <c r="J805" s="4"/>
      <c r="M805" s="4"/>
    </row>
    <row r="806">
      <c r="J806" s="4"/>
      <c r="M806" s="4"/>
    </row>
    <row r="807">
      <c r="J807" s="4"/>
      <c r="M807" s="4"/>
    </row>
    <row r="808">
      <c r="J808" s="4"/>
      <c r="M808" s="4"/>
    </row>
    <row r="809">
      <c r="J809" s="4"/>
      <c r="M809" s="4"/>
    </row>
    <row r="810">
      <c r="J810" s="4"/>
      <c r="M810" s="4"/>
    </row>
    <row r="811">
      <c r="J811" s="4"/>
      <c r="M811" s="4"/>
    </row>
    <row r="812">
      <c r="J812" s="4"/>
      <c r="M812" s="4"/>
    </row>
    <row r="813">
      <c r="J813" s="4"/>
      <c r="M813" s="4"/>
    </row>
    <row r="814">
      <c r="J814" s="4"/>
      <c r="M814" s="4"/>
    </row>
    <row r="815">
      <c r="J815" s="4"/>
      <c r="M815" s="4"/>
    </row>
    <row r="816">
      <c r="J816" s="4"/>
      <c r="M816" s="4"/>
    </row>
    <row r="817">
      <c r="J817" s="4"/>
      <c r="M817" s="4"/>
    </row>
    <row r="818">
      <c r="J818" s="4"/>
      <c r="M818" s="4"/>
    </row>
    <row r="819">
      <c r="J819" s="4"/>
      <c r="M819" s="4"/>
    </row>
    <row r="820">
      <c r="J820" s="4"/>
      <c r="M820" s="4"/>
    </row>
    <row r="821">
      <c r="J821" s="4"/>
      <c r="M821" s="4"/>
    </row>
    <row r="822">
      <c r="J822" s="4"/>
      <c r="M822" s="4"/>
    </row>
    <row r="823">
      <c r="J823" s="4"/>
      <c r="M823" s="4"/>
    </row>
    <row r="824">
      <c r="J824" s="4"/>
      <c r="M824" s="4"/>
    </row>
    <row r="825">
      <c r="J825" s="4"/>
      <c r="M825" s="4"/>
    </row>
    <row r="826">
      <c r="J826" s="4"/>
      <c r="M826" s="4"/>
    </row>
    <row r="827">
      <c r="J827" s="4"/>
      <c r="M827" s="4"/>
    </row>
    <row r="828">
      <c r="J828" s="4"/>
      <c r="M828" s="4"/>
    </row>
    <row r="829">
      <c r="J829" s="4"/>
      <c r="M829" s="4"/>
    </row>
    <row r="830">
      <c r="J830" s="4"/>
      <c r="M830" s="4"/>
    </row>
    <row r="831">
      <c r="J831" s="4"/>
      <c r="M831" s="4"/>
    </row>
    <row r="832">
      <c r="J832" s="4"/>
      <c r="M832" s="4"/>
    </row>
    <row r="833">
      <c r="J833" s="4"/>
      <c r="M833" s="4"/>
    </row>
    <row r="834">
      <c r="J834" s="4"/>
      <c r="M834" s="4"/>
    </row>
    <row r="835">
      <c r="J835" s="4"/>
      <c r="M835" s="4"/>
    </row>
    <row r="836">
      <c r="J836" s="4"/>
      <c r="M836" s="4"/>
    </row>
    <row r="837">
      <c r="J837" s="4"/>
      <c r="M837" s="4"/>
    </row>
    <row r="838">
      <c r="J838" s="4"/>
      <c r="M838" s="4"/>
    </row>
    <row r="839">
      <c r="J839" s="4"/>
      <c r="M839" s="4"/>
    </row>
    <row r="840">
      <c r="J840" s="4"/>
      <c r="M840" s="4"/>
    </row>
    <row r="841">
      <c r="J841" s="4"/>
      <c r="M841" s="4"/>
    </row>
    <row r="842">
      <c r="J842" s="4"/>
      <c r="M842" s="4"/>
    </row>
    <row r="843">
      <c r="J843" s="4"/>
      <c r="M843" s="4"/>
    </row>
    <row r="844">
      <c r="J844" s="4"/>
      <c r="M844" s="4"/>
    </row>
    <row r="845">
      <c r="J845" s="4"/>
      <c r="M845" s="4"/>
    </row>
    <row r="846">
      <c r="J846" s="4"/>
      <c r="M846" s="4"/>
    </row>
    <row r="847">
      <c r="J847" s="4"/>
      <c r="M847" s="4"/>
    </row>
    <row r="848">
      <c r="J848" s="4"/>
      <c r="M848" s="4"/>
    </row>
    <row r="849">
      <c r="J849" s="4"/>
      <c r="M849" s="4"/>
    </row>
    <row r="850">
      <c r="J850" s="4"/>
      <c r="M850" s="4"/>
    </row>
    <row r="851">
      <c r="J851" s="4"/>
      <c r="M851" s="4"/>
    </row>
    <row r="852">
      <c r="J852" s="4"/>
      <c r="M852" s="4"/>
    </row>
    <row r="853">
      <c r="J853" s="4"/>
      <c r="M853" s="4"/>
    </row>
    <row r="854">
      <c r="J854" s="4"/>
      <c r="M854" s="4"/>
    </row>
    <row r="855">
      <c r="J855" s="4"/>
      <c r="M855" s="4"/>
    </row>
    <row r="856">
      <c r="J856" s="4"/>
      <c r="M856" s="4"/>
    </row>
    <row r="857">
      <c r="J857" s="4"/>
      <c r="M857" s="4"/>
    </row>
    <row r="858">
      <c r="J858" s="4"/>
      <c r="M858" s="4"/>
    </row>
    <row r="859">
      <c r="J859" s="4"/>
      <c r="M859" s="4"/>
    </row>
    <row r="860">
      <c r="J860" s="4"/>
      <c r="M860" s="4"/>
    </row>
    <row r="861">
      <c r="J861" s="4"/>
      <c r="M861" s="4"/>
    </row>
    <row r="862">
      <c r="J862" s="4"/>
      <c r="M862" s="4"/>
    </row>
    <row r="863">
      <c r="J863" s="4"/>
      <c r="M863" s="4"/>
    </row>
    <row r="864">
      <c r="J864" s="4"/>
      <c r="M864" s="4"/>
    </row>
    <row r="865">
      <c r="J865" s="4"/>
      <c r="M865" s="4"/>
    </row>
    <row r="866">
      <c r="J866" s="4"/>
      <c r="M866" s="4"/>
    </row>
    <row r="867">
      <c r="J867" s="4"/>
      <c r="M867" s="4"/>
    </row>
    <row r="868">
      <c r="J868" s="4"/>
      <c r="M868" s="4"/>
    </row>
    <row r="869">
      <c r="J869" s="4"/>
      <c r="M869" s="4"/>
    </row>
    <row r="870">
      <c r="J870" s="4"/>
      <c r="M870" s="4"/>
    </row>
    <row r="871">
      <c r="J871" s="4"/>
      <c r="M871" s="4"/>
    </row>
    <row r="872">
      <c r="J872" s="4"/>
      <c r="M872" s="4"/>
    </row>
    <row r="873">
      <c r="J873" s="4"/>
      <c r="M873" s="4"/>
    </row>
    <row r="874">
      <c r="J874" s="4"/>
      <c r="M874" s="4"/>
    </row>
    <row r="875">
      <c r="J875" s="4"/>
      <c r="M875" s="4"/>
    </row>
    <row r="876">
      <c r="J876" s="4"/>
      <c r="M876" s="4"/>
    </row>
    <row r="877">
      <c r="J877" s="4"/>
      <c r="M877" s="4"/>
    </row>
    <row r="878">
      <c r="J878" s="4"/>
      <c r="M878" s="4"/>
    </row>
    <row r="879">
      <c r="J879" s="4"/>
      <c r="M879" s="4"/>
    </row>
    <row r="880">
      <c r="J880" s="4"/>
      <c r="M880" s="4"/>
    </row>
    <row r="881">
      <c r="J881" s="4"/>
      <c r="M881" s="4"/>
    </row>
    <row r="882">
      <c r="J882" s="4"/>
      <c r="M882" s="4"/>
    </row>
    <row r="883">
      <c r="J883" s="4"/>
      <c r="M883" s="4"/>
    </row>
    <row r="884">
      <c r="J884" s="4"/>
      <c r="M884" s="4"/>
    </row>
    <row r="885">
      <c r="J885" s="4"/>
      <c r="M885" s="4"/>
    </row>
    <row r="886">
      <c r="J886" s="4"/>
      <c r="M886" s="4"/>
    </row>
    <row r="887">
      <c r="J887" s="4"/>
      <c r="M887" s="4"/>
    </row>
    <row r="888">
      <c r="J888" s="4"/>
      <c r="M888" s="4"/>
    </row>
    <row r="889">
      <c r="J889" s="4"/>
      <c r="M889" s="4"/>
    </row>
    <row r="890">
      <c r="J890" s="4"/>
      <c r="M890" s="4"/>
    </row>
    <row r="891">
      <c r="J891" s="4"/>
      <c r="M891" s="4"/>
    </row>
    <row r="892">
      <c r="J892" s="4"/>
      <c r="M892" s="4"/>
    </row>
    <row r="893">
      <c r="J893" s="4"/>
      <c r="M893" s="4"/>
    </row>
    <row r="894">
      <c r="J894" s="4"/>
      <c r="M894" s="4"/>
    </row>
    <row r="895">
      <c r="J895" s="4"/>
      <c r="M895" s="4"/>
    </row>
    <row r="896">
      <c r="J896" s="4"/>
      <c r="M896" s="4"/>
    </row>
    <row r="897">
      <c r="J897" s="4"/>
      <c r="M897" s="4"/>
    </row>
    <row r="898">
      <c r="J898" s="4"/>
      <c r="M898" s="4"/>
    </row>
    <row r="899">
      <c r="J899" s="4"/>
      <c r="M899" s="4"/>
    </row>
    <row r="900">
      <c r="J900" s="4"/>
      <c r="M900" s="4"/>
    </row>
    <row r="901">
      <c r="J901" s="4"/>
      <c r="M901" s="4"/>
    </row>
    <row r="902">
      <c r="J902" s="4"/>
      <c r="M902" s="4"/>
    </row>
    <row r="903">
      <c r="J903" s="4"/>
      <c r="M903" s="4"/>
    </row>
    <row r="904">
      <c r="J904" s="4"/>
      <c r="M904" s="4"/>
    </row>
    <row r="905">
      <c r="J905" s="4"/>
      <c r="M905" s="4"/>
    </row>
    <row r="906">
      <c r="J906" s="4"/>
      <c r="M906" s="4"/>
    </row>
    <row r="907">
      <c r="J907" s="4"/>
      <c r="M907" s="4"/>
    </row>
    <row r="908">
      <c r="J908" s="4"/>
      <c r="M908" s="4"/>
    </row>
    <row r="909">
      <c r="J909" s="4"/>
      <c r="M909" s="4"/>
    </row>
    <row r="910">
      <c r="J910" s="4"/>
      <c r="M910" s="4"/>
    </row>
    <row r="911">
      <c r="J911" s="4"/>
      <c r="M911" s="4"/>
    </row>
    <row r="912">
      <c r="J912" s="4"/>
      <c r="M912" s="4"/>
    </row>
    <row r="913">
      <c r="J913" s="4"/>
      <c r="M913" s="4"/>
    </row>
    <row r="914">
      <c r="J914" s="4"/>
      <c r="M914" s="4"/>
    </row>
    <row r="915">
      <c r="J915" s="4"/>
      <c r="M915" s="4"/>
    </row>
    <row r="916">
      <c r="J916" s="4"/>
      <c r="M916" s="4"/>
    </row>
    <row r="917">
      <c r="J917" s="4"/>
      <c r="M917" s="4"/>
    </row>
    <row r="918">
      <c r="J918" s="4"/>
      <c r="M918" s="4"/>
    </row>
    <row r="919">
      <c r="J919" s="4"/>
      <c r="M919" s="4"/>
    </row>
    <row r="920">
      <c r="J920" s="4"/>
      <c r="M920" s="4"/>
    </row>
    <row r="921">
      <c r="J921" s="4"/>
      <c r="M921" s="4"/>
    </row>
    <row r="922">
      <c r="J922" s="4"/>
      <c r="M922" s="4"/>
    </row>
    <row r="923">
      <c r="J923" s="4"/>
      <c r="M923" s="4"/>
    </row>
    <row r="924">
      <c r="J924" s="4"/>
      <c r="M924" s="4"/>
    </row>
    <row r="925">
      <c r="J925" s="4"/>
      <c r="M925" s="4"/>
    </row>
    <row r="926">
      <c r="J926" s="4"/>
      <c r="M926" s="4"/>
    </row>
    <row r="927">
      <c r="J927" s="4"/>
      <c r="M927" s="4"/>
    </row>
    <row r="928">
      <c r="J928" s="4"/>
      <c r="M928" s="4"/>
    </row>
    <row r="929">
      <c r="J929" s="4"/>
      <c r="M929" s="4"/>
    </row>
    <row r="930">
      <c r="J930" s="4"/>
      <c r="M930" s="4"/>
    </row>
    <row r="931">
      <c r="J931" s="4"/>
      <c r="M931" s="4"/>
    </row>
    <row r="932">
      <c r="J932" s="4"/>
      <c r="M932" s="4"/>
    </row>
    <row r="933">
      <c r="J933" s="4"/>
      <c r="M933" s="4"/>
    </row>
    <row r="934">
      <c r="J934" s="4"/>
      <c r="M934" s="4"/>
    </row>
    <row r="935">
      <c r="J935" s="4"/>
      <c r="M935" s="4"/>
    </row>
    <row r="936">
      <c r="J936" s="4"/>
      <c r="M936" s="4"/>
    </row>
    <row r="937">
      <c r="J937" s="4"/>
      <c r="M937" s="4"/>
    </row>
    <row r="938">
      <c r="J938" s="4"/>
      <c r="M938" s="4"/>
    </row>
    <row r="939">
      <c r="J939" s="4"/>
      <c r="M939" s="4"/>
    </row>
    <row r="940">
      <c r="J940" s="4"/>
      <c r="M940" s="4"/>
    </row>
    <row r="941">
      <c r="J941" s="4"/>
      <c r="M941" s="4"/>
    </row>
    <row r="942">
      <c r="J942" s="4"/>
      <c r="M942" s="4"/>
    </row>
    <row r="943">
      <c r="J943" s="4"/>
      <c r="M943" s="4"/>
    </row>
    <row r="944">
      <c r="J944" s="4"/>
      <c r="M944" s="4"/>
    </row>
    <row r="945">
      <c r="J945" s="4"/>
      <c r="M945" s="4"/>
    </row>
    <row r="946">
      <c r="J946" s="4"/>
      <c r="M946" s="4"/>
    </row>
    <row r="947">
      <c r="J947" s="4"/>
      <c r="M947" s="4"/>
    </row>
    <row r="948">
      <c r="J948" s="4"/>
      <c r="M948" s="4"/>
    </row>
    <row r="949">
      <c r="J949" s="4"/>
      <c r="M949" s="4"/>
    </row>
    <row r="950">
      <c r="J950" s="4"/>
      <c r="M950" s="4"/>
    </row>
    <row r="951">
      <c r="J951" s="4"/>
      <c r="M951" s="4"/>
    </row>
    <row r="952">
      <c r="J952" s="4"/>
      <c r="M952" s="4"/>
    </row>
    <row r="953">
      <c r="J953" s="4"/>
      <c r="M953" s="4"/>
    </row>
    <row r="954">
      <c r="J954" s="4"/>
      <c r="M954" s="4"/>
    </row>
    <row r="955">
      <c r="J955" s="4"/>
      <c r="M955" s="4"/>
    </row>
    <row r="956">
      <c r="J956" s="4"/>
      <c r="M956" s="4"/>
    </row>
    <row r="957">
      <c r="J957" s="4"/>
      <c r="M957" s="4"/>
    </row>
    <row r="958">
      <c r="J958" s="4"/>
      <c r="M958" s="4"/>
    </row>
    <row r="959">
      <c r="J959" s="4"/>
      <c r="M959" s="4"/>
    </row>
    <row r="960">
      <c r="J960" s="4"/>
      <c r="M960" s="4"/>
    </row>
    <row r="961">
      <c r="J961" s="4"/>
      <c r="M961" s="4"/>
    </row>
    <row r="962">
      <c r="J962" s="4"/>
      <c r="M962" s="4"/>
    </row>
    <row r="963">
      <c r="J963" s="4"/>
      <c r="M963" s="4"/>
    </row>
    <row r="964">
      <c r="J964" s="4"/>
      <c r="M964" s="4"/>
    </row>
    <row r="965">
      <c r="J965" s="4"/>
      <c r="M965" s="4"/>
    </row>
    <row r="966">
      <c r="J966" s="4"/>
      <c r="M966" s="4"/>
    </row>
    <row r="967">
      <c r="J967" s="4"/>
      <c r="M967" s="4"/>
    </row>
    <row r="968">
      <c r="J968" s="4"/>
      <c r="M968" s="4"/>
    </row>
    <row r="969">
      <c r="J969" s="4"/>
      <c r="M969" s="4"/>
    </row>
    <row r="970">
      <c r="J970" s="4"/>
      <c r="M970" s="4"/>
    </row>
    <row r="971">
      <c r="J971" s="4"/>
      <c r="M971" s="4"/>
    </row>
    <row r="972">
      <c r="J972" s="4"/>
      <c r="M972" s="4"/>
    </row>
    <row r="973">
      <c r="J973" s="4"/>
      <c r="M973" s="4"/>
    </row>
    <row r="974">
      <c r="J974" s="4"/>
      <c r="M974" s="4"/>
    </row>
    <row r="975">
      <c r="J975" s="4"/>
      <c r="M975" s="4"/>
    </row>
    <row r="976">
      <c r="J976" s="4"/>
      <c r="M976" s="4"/>
    </row>
    <row r="977">
      <c r="J977" s="4"/>
      <c r="M977" s="4"/>
    </row>
    <row r="978">
      <c r="J978" s="4"/>
      <c r="M978" s="4"/>
    </row>
    <row r="979">
      <c r="J979" s="4"/>
      <c r="M979" s="4"/>
    </row>
    <row r="980">
      <c r="J980" s="4"/>
      <c r="M980" s="4"/>
    </row>
    <row r="981">
      <c r="J981" s="4"/>
      <c r="M981" s="4"/>
    </row>
    <row r="982">
      <c r="J982" s="4"/>
      <c r="M982" s="4"/>
    </row>
    <row r="983">
      <c r="J983" s="4"/>
      <c r="M983" s="4"/>
    </row>
    <row r="984">
      <c r="J984" s="4"/>
      <c r="M984" s="4"/>
    </row>
    <row r="985">
      <c r="J985" s="4"/>
      <c r="M985" s="4"/>
    </row>
    <row r="986">
      <c r="J986" s="4"/>
      <c r="M986" s="4"/>
    </row>
    <row r="987">
      <c r="J987" s="4"/>
      <c r="M987" s="4"/>
    </row>
    <row r="988">
      <c r="J988" s="4"/>
      <c r="M988" s="4"/>
    </row>
    <row r="989">
      <c r="J989" s="4"/>
      <c r="M989" s="4"/>
    </row>
    <row r="990">
      <c r="J990" s="4"/>
      <c r="M990" s="4"/>
    </row>
    <row r="991">
      <c r="J991" s="4"/>
      <c r="M991" s="4"/>
    </row>
    <row r="992">
      <c r="J992" s="4"/>
      <c r="M992" s="4"/>
    </row>
    <row r="993">
      <c r="J993" s="4"/>
      <c r="M993" s="4"/>
    </row>
    <row r="994">
      <c r="J994" s="4"/>
      <c r="M994" s="4"/>
    </row>
    <row r="995">
      <c r="J995" s="4"/>
      <c r="M995" s="4"/>
    </row>
    <row r="996">
      <c r="J996" s="4"/>
      <c r="M996" s="4"/>
    </row>
    <row r="997">
      <c r="J997" s="4"/>
      <c r="M997" s="4"/>
    </row>
    <row r="998">
      <c r="J998" s="4"/>
      <c r="M998" s="4"/>
    </row>
    <row r="999">
      <c r="J999" s="4"/>
      <c r="M999" s="4"/>
    </row>
    <row r="1000">
      <c r="J1000" s="4"/>
      <c r="M1000" s="4"/>
    </row>
    <row r="1001">
      <c r="J1001" s="4"/>
      <c r="M1001" s="4"/>
    </row>
  </sheetData>
  <drawing r:id="rId1"/>
</worksheet>
</file>